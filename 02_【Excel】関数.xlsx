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b48c2e6dfbe3897/デスクトップ/ポートフォリオ/ポートフォリオ3点_斎藤こずえ/"/>
    </mc:Choice>
  </mc:AlternateContent>
  <xr:revisionPtr revIDLastSave="1214" documentId="8_{7D30530A-C486-4433-A393-09DBD34D6B13}" xr6:coauthVersionLast="47" xr6:coauthVersionMax="47" xr10:uidLastSave="{B4AA2F91-E926-40BE-A33A-F539BDEEEB12}"/>
  <bookViews>
    <workbookView xWindow="-110" yWindow="-110" windowWidth="19420" windowHeight="10300" xr2:uid="{5B85869C-27CD-4833-93AA-CC8FBF13D955}"/>
  </bookViews>
  <sheets>
    <sheet name="Excel関数_概要" sheetId="57" r:id="rId1"/>
    <sheet name="IF" sheetId="3" r:id="rId2"/>
    <sheet name="IF_入れ子" sheetId="17" r:id="rId3"/>
    <sheet name="IFS" sheetId="18" r:id="rId4"/>
    <sheet name="AND, OR" sheetId="19" r:id="rId5"/>
    <sheet name="AND+OR組み合わせ" sheetId="20" r:id="rId6"/>
    <sheet name="COUNT, COUNTA" sheetId="30" r:id="rId7"/>
    <sheet name="COUNTBLANK" sheetId="31" r:id="rId8"/>
    <sheet name="COUNTIF_SUMIF" sheetId="13" r:id="rId9"/>
    <sheet name="COUNTIFS_SUMIFS" sheetId="7" r:id="rId10"/>
    <sheet name="PRODUCT" sheetId="38" r:id="rId11"/>
    <sheet name="AVERAGE, MEDIAN" sheetId="39" r:id="rId12"/>
    <sheet name="AVERAGEIF" sheetId="41" r:id="rId13"/>
    <sheet name="SUMPRODUCT" sheetId="40" r:id="rId14"/>
    <sheet name="VLOOKUP" sheetId="26" r:id="rId15"/>
    <sheet name="VLOOKUP_TRUE, MAX, MIN" sheetId="24" r:id="rId16"/>
    <sheet name="HLOOKUP" sheetId="27" r:id="rId17"/>
    <sheet name="INDEX" sheetId="28" r:id="rId18"/>
    <sheet name="MATCH" sheetId="29" r:id="rId19"/>
    <sheet name="アスタリスク" sheetId="33" r:id="rId20"/>
    <sheet name="RANK" sheetId="25" r:id="rId21"/>
    <sheet name="LEFT, FIND, LEN" sheetId="51" r:id="rId22"/>
    <sheet name="MID, DATE" sheetId="50" r:id="rId23"/>
    <sheet name="YEAR, MONTH, DAY" sheetId="46" r:id="rId24"/>
    <sheet name="TEXT, WORKDAY, NETWORKDAYS" sheetId="47" r:id="rId25"/>
    <sheet name="TODAY" sheetId="42" r:id="rId26"/>
    <sheet name="EDATE" sheetId="44" r:id="rId27"/>
    <sheet name="EOMONTH, ROUND" sheetId="43" r:id="rId28"/>
    <sheet name="DATEDIF" sheetId="45" r:id="rId29"/>
    <sheet name="時間" sheetId="48" r:id="rId30"/>
    <sheet name="SUBTOTAL_1" sheetId="35" r:id="rId31"/>
    <sheet name="SUBTOTAL_2" sheetId="36" r:id="rId32"/>
    <sheet name="OFFSET" sheetId="37" r:id="rId33"/>
    <sheet name="ピボットデータ" sheetId="10" r:id="rId34"/>
    <sheet name="ピボットテーブル" sheetId="11" r:id="rId35"/>
    <sheet name="ピボットグラフ" sheetId="12" r:id="rId36"/>
    <sheet name="IFERROR" sheetId="22" r:id="rId37"/>
  </sheets>
  <definedNames>
    <definedName name="_xlnm._FilterDatabase" localSheetId="32" hidden="1">OFFSET!#REF!</definedName>
    <definedName name="_xlnm._FilterDatabase" localSheetId="10" hidden="1">PRODUCT!#REF!</definedName>
    <definedName name="_xlnm._FilterDatabase" localSheetId="30" hidden="1">SUBTOTAL_1!$B$3:$C$10</definedName>
    <definedName name="_xlnm._FilterDatabase" localSheetId="31" hidden="1">SUBTOTAL_2!$B$4:$C$4</definedName>
    <definedName name="_xlnm._FilterDatabase" localSheetId="13" hidden="1">SUMPRODUCT!#REF!</definedName>
    <definedName name="AS2DocOpenMode" hidden="1">"AS2DocumentEdit"</definedName>
    <definedName name="IQ_DNTM" hidden="1">700000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MTD" hidden="1">800000</definedName>
    <definedName name="IQ_NAMES_REVISION_DATE_" hidden="1">"08/13/2015 08:45:43"</definedName>
    <definedName name="IQ_QTD" hidden="1">750000</definedName>
    <definedName name="IQ_TODAY" hidden="1">0</definedName>
    <definedName name="IQ_YTDMONTH" hidden="1">130000</definedName>
    <definedName name="海外営業">#REF!</definedName>
    <definedName name="近畿">#REF!</definedName>
    <definedName name="近畿1月">#REF!</definedName>
    <definedName name="近畿2月">#REF!</definedName>
    <definedName name="国内営業">#REF!</definedName>
    <definedName name="人事">#REF!</definedName>
  </definedNames>
  <calcPr calcId="191029"/>
  <pivotCaches>
    <pivotCache cacheId="0" r:id="rId3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47" l="1"/>
  <c r="C6" i="47"/>
  <c r="C7" i="47"/>
  <c r="C8" i="47"/>
  <c r="C9" i="47"/>
  <c r="C10" i="47"/>
  <c r="C11" i="47"/>
  <c r="C12" i="47"/>
  <c r="C13" i="47"/>
  <c r="C14" i="47"/>
  <c r="C15" i="47"/>
  <c r="C16" i="47"/>
  <c r="C17" i="47"/>
  <c r="C18" i="47"/>
  <c r="C4" i="47"/>
  <c r="J7" i="46" l="1"/>
  <c r="K7" i="46"/>
  <c r="L7" i="46"/>
  <c r="J8" i="46"/>
  <c r="K8" i="46"/>
  <c r="L8" i="46"/>
  <c r="J9" i="46"/>
  <c r="K9" i="46"/>
  <c r="L9" i="46"/>
  <c r="K6" i="46"/>
  <c r="L6" i="46"/>
  <c r="J6" i="46"/>
  <c r="C6" i="46"/>
  <c r="D6" i="46"/>
  <c r="E6" i="46"/>
  <c r="C7" i="46"/>
  <c r="D7" i="46"/>
  <c r="E7" i="46"/>
  <c r="C8" i="46"/>
  <c r="D8" i="46"/>
  <c r="E8" i="46"/>
  <c r="C9" i="46"/>
  <c r="D9" i="46"/>
  <c r="E9" i="46"/>
  <c r="C10" i="46"/>
  <c r="D10" i="46"/>
  <c r="E10" i="46"/>
  <c r="C11" i="46"/>
  <c r="D11" i="46"/>
  <c r="E11" i="46"/>
  <c r="C12" i="46"/>
  <c r="D12" i="46"/>
  <c r="E12" i="46"/>
  <c r="C13" i="46"/>
  <c r="D13" i="46"/>
  <c r="E13" i="46"/>
  <c r="C14" i="46"/>
  <c r="D14" i="46"/>
  <c r="E14" i="46"/>
  <c r="C15" i="46"/>
  <c r="D15" i="46"/>
  <c r="E15" i="46"/>
  <c r="C16" i="46"/>
  <c r="D16" i="46"/>
  <c r="E16" i="46"/>
  <c r="C17" i="46"/>
  <c r="D17" i="46"/>
  <c r="E17" i="46"/>
  <c r="C18" i="46"/>
  <c r="D18" i="46"/>
  <c r="E18" i="46"/>
  <c r="C19" i="46"/>
  <c r="D19" i="46"/>
  <c r="E19" i="46"/>
  <c r="C20" i="46"/>
  <c r="D20" i="46"/>
  <c r="E20" i="46"/>
  <c r="C21" i="46"/>
  <c r="D21" i="46"/>
  <c r="E21" i="46"/>
  <c r="C22" i="46"/>
  <c r="D22" i="46"/>
  <c r="E22" i="46"/>
  <c r="C23" i="46"/>
  <c r="D23" i="46"/>
  <c r="E23" i="46"/>
  <c r="C24" i="46"/>
  <c r="D24" i="46"/>
  <c r="E24" i="46"/>
  <c r="C25" i="46"/>
  <c r="D25" i="46"/>
  <c r="E25" i="46"/>
  <c r="C26" i="46"/>
  <c r="D26" i="46"/>
  <c r="E26" i="46"/>
  <c r="C27" i="46"/>
  <c r="D27" i="46"/>
  <c r="E27" i="46"/>
  <c r="C28" i="46"/>
  <c r="D28" i="46"/>
  <c r="E28" i="46"/>
  <c r="C29" i="46"/>
  <c r="D29" i="46"/>
  <c r="E29" i="46"/>
  <c r="C30" i="46"/>
  <c r="D30" i="46"/>
  <c r="E30" i="46"/>
  <c r="C31" i="46"/>
  <c r="D31" i="46"/>
  <c r="E31" i="46"/>
  <c r="C32" i="46"/>
  <c r="D32" i="46"/>
  <c r="E32" i="46"/>
  <c r="C33" i="46"/>
  <c r="D33" i="46"/>
  <c r="E33" i="46"/>
  <c r="C34" i="46"/>
  <c r="D34" i="46"/>
  <c r="E34" i="46"/>
  <c r="C35" i="46"/>
  <c r="D35" i="46"/>
  <c r="E35" i="46"/>
  <c r="C36" i="46"/>
  <c r="D36" i="46"/>
  <c r="E36" i="46"/>
  <c r="C37" i="46"/>
  <c r="D37" i="46"/>
  <c r="E37" i="46"/>
  <c r="C38" i="46"/>
  <c r="D38" i="46"/>
  <c r="E38" i="46"/>
  <c r="C39" i="46"/>
  <c r="D39" i="46"/>
  <c r="E39" i="46"/>
  <c r="C40" i="46"/>
  <c r="D40" i="46"/>
  <c r="E40" i="46"/>
  <c r="C41" i="46"/>
  <c r="D41" i="46"/>
  <c r="E41" i="46"/>
  <c r="C42" i="46"/>
  <c r="D42" i="46"/>
  <c r="E42" i="46"/>
  <c r="C43" i="46"/>
  <c r="D43" i="46"/>
  <c r="E43" i="46"/>
  <c r="C44" i="46"/>
  <c r="D44" i="46"/>
  <c r="E44" i="46"/>
  <c r="C45" i="46"/>
  <c r="D45" i="46"/>
  <c r="E45" i="46"/>
  <c r="C46" i="46"/>
  <c r="D46" i="46"/>
  <c r="E46" i="46"/>
  <c r="C47" i="46"/>
  <c r="D47" i="46"/>
  <c r="E47" i="46"/>
  <c r="C48" i="46"/>
  <c r="D48" i="46"/>
  <c r="E48" i="46"/>
  <c r="C49" i="46"/>
  <c r="D49" i="46"/>
  <c r="E49" i="46"/>
  <c r="C50" i="46"/>
  <c r="D50" i="46"/>
  <c r="E50" i="46"/>
  <c r="C51" i="46"/>
  <c r="D51" i="46"/>
  <c r="E51" i="46"/>
  <c r="C52" i="46"/>
  <c r="D52" i="46"/>
  <c r="E52" i="46"/>
  <c r="C53" i="46"/>
  <c r="D53" i="46"/>
  <c r="E53" i="46"/>
  <c r="C54" i="46"/>
  <c r="D54" i="46"/>
  <c r="E54" i="46"/>
  <c r="C55" i="46"/>
  <c r="D55" i="46"/>
  <c r="E55" i="46"/>
  <c r="C56" i="46"/>
  <c r="D56" i="46"/>
  <c r="E56" i="46"/>
  <c r="C57" i="46"/>
  <c r="D57" i="46"/>
  <c r="E57" i="46"/>
  <c r="C58" i="46"/>
  <c r="D58" i="46"/>
  <c r="E58" i="46"/>
  <c r="C59" i="46"/>
  <c r="D59" i="46"/>
  <c r="E59" i="46"/>
  <c r="C60" i="46"/>
  <c r="D60" i="46"/>
  <c r="E60" i="46"/>
  <c r="C61" i="46"/>
  <c r="D61" i="46"/>
  <c r="E61" i="46"/>
  <c r="C62" i="46"/>
  <c r="D62" i="46"/>
  <c r="E62" i="46"/>
  <c r="C63" i="46"/>
  <c r="D63" i="46"/>
  <c r="E63" i="46"/>
  <c r="C64" i="46"/>
  <c r="D64" i="46"/>
  <c r="E64" i="46"/>
  <c r="C65" i="46"/>
  <c r="D65" i="46"/>
  <c r="E65" i="46"/>
  <c r="C66" i="46"/>
  <c r="D66" i="46"/>
  <c r="E66" i="46"/>
  <c r="C67" i="46"/>
  <c r="D67" i="46"/>
  <c r="E67" i="46"/>
  <c r="C68" i="46"/>
  <c r="D68" i="46"/>
  <c r="E68" i="46"/>
  <c r="C69" i="46"/>
  <c r="D69" i="46"/>
  <c r="E69" i="46"/>
  <c r="C70" i="46"/>
  <c r="D70" i="46"/>
  <c r="E70" i="46"/>
  <c r="C71" i="46"/>
  <c r="D71" i="46"/>
  <c r="E71" i="46"/>
  <c r="C72" i="46"/>
  <c r="D72" i="46"/>
  <c r="E72" i="46"/>
  <c r="C73" i="46"/>
  <c r="D73" i="46"/>
  <c r="E73" i="46"/>
  <c r="C74" i="46"/>
  <c r="D74" i="46"/>
  <c r="E74" i="46"/>
  <c r="C75" i="46"/>
  <c r="D75" i="46"/>
  <c r="E75" i="46"/>
  <c r="C76" i="46"/>
  <c r="D76" i="46"/>
  <c r="E76" i="46"/>
  <c r="C77" i="46"/>
  <c r="D77" i="46"/>
  <c r="E77" i="46"/>
  <c r="C78" i="46"/>
  <c r="D78" i="46"/>
  <c r="E78" i="46"/>
  <c r="C79" i="46"/>
  <c r="D79" i="46"/>
  <c r="E79" i="46"/>
  <c r="C80" i="46"/>
  <c r="D80" i="46"/>
  <c r="E80" i="46"/>
  <c r="C81" i="46"/>
  <c r="D81" i="46"/>
  <c r="E81" i="46"/>
  <c r="C82" i="46"/>
  <c r="D82" i="46"/>
  <c r="E82" i="46"/>
  <c r="C83" i="46"/>
  <c r="D83" i="46"/>
  <c r="E83" i="46"/>
  <c r="C84" i="46"/>
  <c r="D84" i="46"/>
  <c r="E84" i="46"/>
  <c r="C85" i="46"/>
  <c r="D85" i="46"/>
  <c r="E85" i="46"/>
  <c r="C86" i="46"/>
  <c r="D86" i="46"/>
  <c r="E86" i="46"/>
  <c r="C87" i="46"/>
  <c r="D87" i="46"/>
  <c r="E87" i="46"/>
  <c r="C88" i="46"/>
  <c r="D88" i="46"/>
  <c r="E88" i="46"/>
  <c r="C89" i="46"/>
  <c r="D89" i="46"/>
  <c r="E89" i="46"/>
  <c r="C90" i="46"/>
  <c r="D90" i="46"/>
  <c r="E90" i="46"/>
  <c r="C91" i="46"/>
  <c r="D91" i="46"/>
  <c r="E91" i="46"/>
  <c r="C92" i="46"/>
  <c r="D92" i="46"/>
  <c r="E92" i="46"/>
  <c r="C93" i="46"/>
  <c r="D93" i="46"/>
  <c r="E93" i="46"/>
  <c r="C94" i="46"/>
  <c r="D94" i="46"/>
  <c r="E94" i="46"/>
  <c r="C95" i="46"/>
  <c r="D95" i="46"/>
  <c r="E95" i="46"/>
  <c r="C96" i="46"/>
  <c r="D96" i="46"/>
  <c r="E96" i="46"/>
  <c r="C97" i="46"/>
  <c r="D97" i="46"/>
  <c r="E97" i="46"/>
  <c r="C98" i="46"/>
  <c r="D98" i="46"/>
  <c r="E98" i="46"/>
  <c r="C99" i="46"/>
  <c r="D99" i="46"/>
  <c r="E99" i="46"/>
  <c r="C100" i="46"/>
  <c r="D100" i="46"/>
  <c r="E100" i="46"/>
  <c r="C101" i="46"/>
  <c r="D101" i="46"/>
  <c r="E101" i="46"/>
  <c r="C102" i="46"/>
  <c r="D102" i="46"/>
  <c r="E102" i="46"/>
  <c r="C103" i="46"/>
  <c r="D103" i="46"/>
  <c r="E103" i="46"/>
  <c r="C104" i="46"/>
  <c r="D104" i="46"/>
  <c r="E104" i="46"/>
  <c r="C105" i="46"/>
  <c r="D105" i="46"/>
  <c r="E105" i="46"/>
  <c r="C106" i="46"/>
  <c r="D106" i="46"/>
  <c r="E106" i="46"/>
  <c r="C107" i="46"/>
  <c r="D107" i="46"/>
  <c r="E107" i="46"/>
  <c r="C108" i="46"/>
  <c r="D108" i="46"/>
  <c r="E108" i="46"/>
  <c r="C109" i="46"/>
  <c r="D109" i="46"/>
  <c r="E109" i="46"/>
  <c r="C110" i="46"/>
  <c r="D110" i="46"/>
  <c r="E110" i="46"/>
  <c r="C111" i="46"/>
  <c r="D111" i="46"/>
  <c r="E111" i="46"/>
  <c r="C112" i="46"/>
  <c r="D112" i="46"/>
  <c r="E112" i="46"/>
  <c r="C113" i="46"/>
  <c r="D113" i="46"/>
  <c r="E113" i="46"/>
  <c r="C114" i="46"/>
  <c r="D114" i="46"/>
  <c r="E114" i="46"/>
  <c r="C115" i="46"/>
  <c r="D115" i="46"/>
  <c r="E115" i="46"/>
  <c r="C116" i="46"/>
  <c r="D116" i="46"/>
  <c r="E116" i="46"/>
  <c r="C117" i="46"/>
  <c r="D117" i="46"/>
  <c r="E117" i="46"/>
  <c r="C118" i="46"/>
  <c r="D118" i="46"/>
  <c r="E118" i="46"/>
  <c r="C119" i="46"/>
  <c r="D119" i="46"/>
  <c r="E119" i="46"/>
  <c r="C120" i="46"/>
  <c r="D120" i="46"/>
  <c r="E120" i="46"/>
  <c r="C121" i="46"/>
  <c r="D121" i="46"/>
  <c r="E121" i="46"/>
  <c r="C122" i="46"/>
  <c r="D122" i="46"/>
  <c r="E122" i="46"/>
  <c r="C123" i="46"/>
  <c r="D123" i="46"/>
  <c r="E123" i="46"/>
  <c r="C124" i="46"/>
  <c r="D124" i="46"/>
  <c r="E124" i="46"/>
  <c r="C125" i="46"/>
  <c r="D125" i="46"/>
  <c r="E125" i="46"/>
  <c r="C126" i="46"/>
  <c r="D126" i="46"/>
  <c r="E126" i="46"/>
  <c r="C127" i="46"/>
  <c r="D127" i="46"/>
  <c r="E127" i="46"/>
  <c r="C128" i="46"/>
  <c r="D128" i="46"/>
  <c r="E128" i="46"/>
  <c r="C129" i="46"/>
  <c r="D129" i="46"/>
  <c r="E129" i="46"/>
  <c r="C130" i="46"/>
  <c r="D130" i="46"/>
  <c r="E130" i="46"/>
  <c r="C131" i="46"/>
  <c r="D131" i="46"/>
  <c r="E131" i="46"/>
  <c r="C132" i="46"/>
  <c r="D132" i="46"/>
  <c r="E132" i="46"/>
  <c r="C133" i="46"/>
  <c r="D133" i="46"/>
  <c r="E133" i="46"/>
  <c r="C134" i="46"/>
  <c r="D134" i="46"/>
  <c r="E134" i="46"/>
  <c r="C135" i="46"/>
  <c r="D135" i="46"/>
  <c r="E135" i="46"/>
  <c r="C136" i="46"/>
  <c r="D136" i="46"/>
  <c r="E136" i="46"/>
  <c r="C137" i="46"/>
  <c r="D137" i="46"/>
  <c r="E137" i="46"/>
  <c r="C138" i="46"/>
  <c r="D138" i="46"/>
  <c r="E138" i="46"/>
  <c r="C139" i="46"/>
  <c r="D139" i="46"/>
  <c r="E139" i="46"/>
  <c r="C140" i="46"/>
  <c r="D140" i="46"/>
  <c r="E140" i="46"/>
  <c r="C141" i="46"/>
  <c r="D141" i="46"/>
  <c r="E141" i="46"/>
  <c r="C142" i="46"/>
  <c r="D142" i="46"/>
  <c r="E142" i="46"/>
  <c r="C143" i="46"/>
  <c r="D143" i="46"/>
  <c r="E143" i="46"/>
  <c r="C144" i="46"/>
  <c r="D144" i="46"/>
  <c r="E144" i="46"/>
  <c r="C145" i="46"/>
  <c r="D145" i="46"/>
  <c r="E145" i="46"/>
  <c r="C146" i="46"/>
  <c r="D146" i="46"/>
  <c r="E146" i="46"/>
  <c r="C147" i="46"/>
  <c r="D147" i="46"/>
  <c r="E147" i="46"/>
  <c r="C148" i="46"/>
  <c r="D148" i="46"/>
  <c r="E148" i="46"/>
  <c r="C149" i="46"/>
  <c r="D149" i="46"/>
  <c r="E149" i="46"/>
  <c r="C150" i="46"/>
  <c r="D150" i="46"/>
  <c r="E150" i="46"/>
  <c r="C151" i="46"/>
  <c r="D151" i="46"/>
  <c r="E151" i="46"/>
  <c r="C152" i="46"/>
  <c r="D152" i="46"/>
  <c r="E152" i="46"/>
  <c r="C153" i="46"/>
  <c r="D153" i="46"/>
  <c r="E153" i="46"/>
  <c r="C154" i="46"/>
  <c r="D154" i="46"/>
  <c r="E154" i="46"/>
  <c r="C155" i="46"/>
  <c r="D155" i="46"/>
  <c r="E155" i="46"/>
  <c r="C156" i="46"/>
  <c r="D156" i="46"/>
  <c r="E156" i="46"/>
  <c r="C157" i="46"/>
  <c r="D157" i="46"/>
  <c r="E157" i="46"/>
  <c r="C158" i="46"/>
  <c r="D158" i="46"/>
  <c r="E158" i="46"/>
  <c r="C159" i="46"/>
  <c r="D159" i="46"/>
  <c r="E159" i="46"/>
  <c r="C160" i="46"/>
  <c r="D160" i="46"/>
  <c r="E160" i="46"/>
  <c r="C161" i="46"/>
  <c r="D161" i="46"/>
  <c r="E161" i="46"/>
  <c r="C162" i="46"/>
  <c r="D162" i="46"/>
  <c r="E162" i="46"/>
  <c r="C163" i="46"/>
  <c r="D163" i="46"/>
  <c r="E163" i="46"/>
  <c r="C164" i="46"/>
  <c r="D164" i="46"/>
  <c r="E164" i="46"/>
  <c r="C165" i="46"/>
  <c r="D165" i="46"/>
  <c r="E165" i="46"/>
  <c r="C166" i="46"/>
  <c r="D166" i="46"/>
  <c r="E166" i="46"/>
  <c r="C167" i="46"/>
  <c r="D167" i="46"/>
  <c r="E167" i="46"/>
  <c r="C168" i="46"/>
  <c r="D168" i="46"/>
  <c r="E168" i="46"/>
  <c r="C169" i="46"/>
  <c r="D169" i="46"/>
  <c r="E169" i="46"/>
  <c r="C170" i="46"/>
  <c r="D170" i="46"/>
  <c r="E170" i="46"/>
  <c r="C171" i="46"/>
  <c r="D171" i="46"/>
  <c r="E171" i="46"/>
  <c r="C172" i="46"/>
  <c r="D172" i="46"/>
  <c r="E172" i="46"/>
  <c r="C173" i="46"/>
  <c r="D173" i="46"/>
  <c r="E173" i="46"/>
  <c r="C174" i="46"/>
  <c r="D174" i="46"/>
  <c r="E174" i="46"/>
  <c r="C175" i="46"/>
  <c r="D175" i="46"/>
  <c r="E175" i="46"/>
  <c r="C176" i="46"/>
  <c r="D176" i="46"/>
  <c r="E176" i="46"/>
  <c r="C177" i="46"/>
  <c r="D177" i="46"/>
  <c r="E177" i="46"/>
  <c r="C178" i="46"/>
  <c r="D178" i="46"/>
  <c r="E178" i="46"/>
  <c r="C179" i="46"/>
  <c r="D179" i="46"/>
  <c r="E179" i="46"/>
  <c r="C180" i="46"/>
  <c r="D180" i="46"/>
  <c r="E180" i="46"/>
  <c r="C181" i="46"/>
  <c r="D181" i="46"/>
  <c r="E181" i="46"/>
  <c r="C182" i="46"/>
  <c r="D182" i="46"/>
  <c r="E182" i="46"/>
  <c r="C183" i="46"/>
  <c r="D183" i="46"/>
  <c r="E183" i="46"/>
  <c r="C184" i="46"/>
  <c r="D184" i="46"/>
  <c r="E184" i="46"/>
  <c r="C185" i="46"/>
  <c r="D185" i="46"/>
  <c r="E185" i="46"/>
  <c r="C186" i="46"/>
  <c r="D186" i="46"/>
  <c r="E186" i="46"/>
  <c r="C187" i="46"/>
  <c r="D187" i="46"/>
  <c r="E187" i="46"/>
  <c r="C188" i="46"/>
  <c r="D188" i="46"/>
  <c r="E188" i="46"/>
  <c r="C189" i="46"/>
  <c r="D189" i="46"/>
  <c r="E189" i="46"/>
  <c r="C190" i="46"/>
  <c r="D190" i="46"/>
  <c r="E190" i="46"/>
  <c r="C191" i="46"/>
  <c r="D191" i="46"/>
  <c r="E191" i="46"/>
  <c r="C192" i="46"/>
  <c r="D192" i="46"/>
  <c r="E192" i="46"/>
  <c r="C193" i="46"/>
  <c r="D193" i="46"/>
  <c r="E193" i="46"/>
  <c r="C194" i="46"/>
  <c r="D194" i="46"/>
  <c r="E194" i="46"/>
  <c r="C195" i="46"/>
  <c r="D195" i="46"/>
  <c r="E195" i="46"/>
  <c r="C196" i="46"/>
  <c r="D196" i="46"/>
  <c r="E196" i="46"/>
  <c r="C197" i="46"/>
  <c r="D197" i="46"/>
  <c r="E197" i="46"/>
  <c r="C198" i="46"/>
  <c r="D198" i="46"/>
  <c r="E198" i="46"/>
  <c r="C199" i="46"/>
  <c r="D199" i="46"/>
  <c r="E199" i="46"/>
  <c r="C200" i="46"/>
  <c r="D200" i="46"/>
  <c r="E200" i="46"/>
  <c r="C201" i="46"/>
  <c r="D201" i="46"/>
  <c r="E201" i="46"/>
  <c r="C202" i="46"/>
  <c r="D202" i="46"/>
  <c r="E202" i="46"/>
  <c r="C203" i="46"/>
  <c r="D203" i="46"/>
  <c r="E203" i="46"/>
  <c r="C204" i="46"/>
  <c r="D204" i="46"/>
  <c r="E204" i="46"/>
  <c r="C205" i="46"/>
  <c r="D205" i="46"/>
  <c r="E205" i="46"/>
  <c r="C206" i="46"/>
  <c r="D206" i="46"/>
  <c r="E206" i="46"/>
  <c r="C207" i="46"/>
  <c r="D207" i="46"/>
  <c r="E207" i="46"/>
  <c r="C208" i="46"/>
  <c r="D208" i="46"/>
  <c r="E208" i="46"/>
  <c r="C209" i="46"/>
  <c r="D209" i="46"/>
  <c r="E209" i="46"/>
  <c r="C210" i="46"/>
  <c r="D210" i="46"/>
  <c r="E210" i="46"/>
  <c r="C211" i="46"/>
  <c r="D211" i="46"/>
  <c r="E211" i="46"/>
  <c r="C212" i="46"/>
  <c r="D212" i="46"/>
  <c r="E212" i="46"/>
  <c r="C213" i="46"/>
  <c r="D213" i="46"/>
  <c r="E213" i="46"/>
  <c r="C214" i="46"/>
  <c r="D214" i="46"/>
  <c r="E214" i="46"/>
  <c r="C215" i="46"/>
  <c r="D215" i="46"/>
  <c r="E215" i="46"/>
  <c r="C216" i="46"/>
  <c r="D216" i="46"/>
  <c r="E216" i="46"/>
  <c r="C217" i="46"/>
  <c r="D217" i="46"/>
  <c r="E217" i="46"/>
  <c r="C218" i="46"/>
  <c r="D218" i="46"/>
  <c r="E218" i="46"/>
  <c r="C219" i="46"/>
  <c r="D219" i="46"/>
  <c r="E219" i="46"/>
  <c r="C220" i="46"/>
  <c r="D220" i="46"/>
  <c r="E220" i="46"/>
  <c r="C221" i="46"/>
  <c r="D221" i="46"/>
  <c r="E221" i="46"/>
  <c r="C222" i="46"/>
  <c r="D222" i="46"/>
  <c r="E222" i="46"/>
  <c r="C223" i="46"/>
  <c r="D223" i="46"/>
  <c r="E223" i="46"/>
  <c r="C224" i="46"/>
  <c r="D224" i="46"/>
  <c r="E224" i="46"/>
  <c r="C225" i="46"/>
  <c r="D225" i="46"/>
  <c r="E225" i="46"/>
  <c r="C226" i="46"/>
  <c r="D226" i="46"/>
  <c r="E226" i="46"/>
  <c r="C227" i="46"/>
  <c r="D227" i="46"/>
  <c r="E227" i="46"/>
  <c r="C228" i="46"/>
  <c r="D228" i="46"/>
  <c r="E228" i="46"/>
  <c r="C229" i="46"/>
  <c r="D229" i="46"/>
  <c r="E229" i="46"/>
  <c r="C230" i="46"/>
  <c r="D230" i="46"/>
  <c r="E230" i="46"/>
  <c r="C231" i="46"/>
  <c r="D231" i="46"/>
  <c r="E231" i="46"/>
  <c r="C232" i="46"/>
  <c r="D232" i="46"/>
  <c r="E232" i="46"/>
  <c r="C233" i="46"/>
  <c r="D233" i="46"/>
  <c r="E233" i="46"/>
  <c r="C234" i="46"/>
  <c r="D234" i="46"/>
  <c r="E234" i="46"/>
  <c r="C235" i="46"/>
  <c r="D235" i="46"/>
  <c r="E235" i="46"/>
  <c r="C236" i="46"/>
  <c r="D236" i="46"/>
  <c r="E236" i="46"/>
  <c r="C237" i="46"/>
  <c r="D237" i="46"/>
  <c r="E237" i="46"/>
  <c r="C238" i="46"/>
  <c r="D238" i="46"/>
  <c r="E238" i="46"/>
  <c r="C239" i="46"/>
  <c r="D239" i="46"/>
  <c r="E239" i="46"/>
  <c r="C240" i="46"/>
  <c r="D240" i="46"/>
  <c r="E240" i="46"/>
  <c r="C241" i="46"/>
  <c r="D241" i="46"/>
  <c r="E241" i="46"/>
  <c r="C242" i="46"/>
  <c r="D242" i="46"/>
  <c r="E242" i="46"/>
  <c r="C243" i="46"/>
  <c r="D243" i="46"/>
  <c r="E243" i="46"/>
  <c r="C244" i="46"/>
  <c r="D244" i="46"/>
  <c r="E244" i="46"/>
  <c r="C245" i="46"/>
  <c r="D245" i="46"/>
  <c r="E245" i="46"/>
  <c r="C246" i="46"/>
  <c r="D246" i="46"/>
  <c r="E246" i="46"/>
  <c r="C247" i="46"/>
  <c r="D247" i="46"/>
  <c r="E247" i="46"/>
  <c r="C248" i="46"/>
  <c r="D248" i="46"/>
  <c r="E248" i="46"/>
  <c r="C249" i="46"/>
  <c r="D249" i="46"/>
  <c r="E249" i="46"/>
  <c r="C250" i="46"/>
  <c r="D250" i="46"/>
  <c r="E250" i="46"/>
  <c r="C251" i="46"/>
  <c r="D251" i="46"/>
  <c r="E251" i="46"/>
  <c r="C252" i="46"/>
  <c r="D252" i="46"/>
  <c r="E252" i="46"/>
  <c r="C253" i="46"/>
  <c r="D253" i="46"/>
  <c r="E253" i="46"/>
  <c r="C254" i="46"/>
  <c r="D254" i="46"/>
  <c r="E254" i="46"/>
  <c r="C255" i="46"/>
  <c r="D255" i="46"/>
  <c r="E255" i="46"/>
  <c r="C256" i="46"/>
  <c r="D256" i="46"/>
  <c r="E256" i="46"/>
  <c r="C257" i="46"/>
  <c r="D257" i="46"/>
  <c r="E257" i="46"/>
  <c r="C258" i="46"/>
  <c r="D258" i="46"/>
  <c r="E258" i="46"/>
  <c r="C259" i="46"/>
  <c r="D259" i="46"/>
  <c r="E259" i="46"/>
  <c r="C260" i="46"/>
  <c r="D260" i="46"/>
  <c r="E260" i="46"/>
  <c r="C261" i="46"/>
  <c r="D261" i="46"/>
  <c r="E261" i="46"/>
  <c r="C262" i="46"/>
  <c r="D262" i="46"/>
  <c r="E262" i="46"/>
  <c r="C263" i="46"/>
  <c r="D263" i="46"/>
  <c r="E263" i="46"/>
  <c r="C264" i="46"/>
  <c r="D264" i="46"/>
  <c r="E264" i="46"/>
  <c r="C265" i="46"/>
  <c r="D265" i="46"/>
  <c r="E265" i="46"/>
  <c r="C266" i="46"/>
  <c r="D266" i="46"/>
  <c r="E266" i="46"/>
  <c r="C267" i="46"/>
  <c r="D267" i="46"/>
  <c r="E267" i="46"/>
  <c r="C268" i="46"/>
  <c r="D268" i="46"/>
  <c r="E268" i="46"/>
  <c r="C269" i="46"/>
  <c r="D269" i="46"/>
  <c r="E269" i="46"/>
  <c r="C270" i="46"/>
  <c r="D270" i="46"/>
  <c r="E270" i="46"/>
  <c r="C271" i="46"/>
  <c r="D271" i="46"/>
  <c r="E271" i="46"/>
  <c r="C272" i="46"/>
  <c r="D272" i="46"/>
  <c r="E272" i="46"/>
  <c r="C273" i="46"/>
  <c r="D273" i="46"/>
  <c r="E273" i="46"/>
  <c r="C274" i="46"/>
  <c r="D274" i="46"/>
  <c r="E274" i="46"/>
  <c r="C275" i="46"/>
  <c r="D275" i="46"/>
  <c r="E275" i="46"/>
  <c r="C276" i="46"/>
  <c r="D276" i="46"/>
  <c r="E276" i="46"/>
  <c r="C277" i="46"/>
  <c r="D277" i="46"/>
  <c r="E277" i="46"/>
  <c r="C278" i="46"/>
  <c r="D278" i="46"/>
  <c r="E278" i="46"/>
  <c r="C279" i="46"/>
  <c r="D279" i="46"/>
  <c r="E279" i="46"/>
  <c r="C280" i="46"/>
  <c r="D280" i="46"/>
  <c r="E280" i="46"/>
  <c r="C281" i="46"/>
  <c r="D281" i="46"/>
  <c r="E281" i="46"/>
  <c r="C282" i="46"/>
  <c r="D282" i="46"/>
  <c r="E282" i="46"/>
  <c r="C283" i="46"/>
  <c r="D283" i="46"/>
  <c r="E283" i="46"/>
  <c r="C284" i="46"/>
  <c r="D284" i="46"/>
  <c r="E284" i="46"/>
  <c r="C285" i="46"/>
  <c r="D285" i="46"/>
  <c r="E285" i="46"/>
  <c r="C286" i="46"/>
  <c r="D286" i="46"/>
  <c r="E286" i="46"/>
  <c r="C287" i="46"/>
  <c r="D287" i="46"/>
  <c r="E287" i="46"/>
  <c r="C288" i="46"/>
  <c r="D288" i="46"/>
  <c r="E288" i="46"/>
  <c r="C289" i="46"/>
  <c r="D289" i="46"/>
  <c r="E289" i="46"/>
  <c r="C290" i="46"/>
  <c r="D290" i="46"/>
  <c r="E290" i="46"/>
  <c r="C291" i="46"/>
  <c r="D291" i="46"/>
  <c r="E291" i="46"/>
  <c r="C292" i="46"/>
  <c r="D292" i="46"/>
  <c r="E292" i="46"/>
  <c r="C293" i="46"/>
  <c r="D293" i="46"/>
  <c r="E293" i="46"/>
  <c r="C294" i="46"/>
  <c r="D294" i="46"/>
  <c r="E294" i="46"/>
  <c r="C295" i="46"/>
  <c r="D295" i="46"/>
  <c r="E295" i="46"/>
  <c r="C296" i="46"/>
  <c r="D296" i="46"/>
  <c r="E296" i="46"/>
  <c r="C297" i="46"/>
  <c r="D297" i="46"/>
  <c r="E297" i="46"/>
  <c r="C298" i="46"/>
  <c r="D298" i="46"/>
  <c r="E298" i="46"/>
  <c r="C299" i="46"/>
  <c r="D299" i="46"/>
  <c r="E299" i="46"/>
  <c r="C300" i="46"/>
  <c r="D300" i="46"/>
  <c r="E300" i="46"/>
  <c r="C301" i="46"/>
  <c r="D301" i="46"/>
  <c r="E301" i="46"/>
  <c r="C302" i="46"/>
  <c r="D302" i="46"/>
  <c r="E302" i="46"/>
  <c r="C303" i="46"/>
  <c r="D303" i="46"/>
  <c r="E303" i="46"/>
  <c r="C304" i="46"/>
  <c r="D304" i="46"/>
  <c r="E304" i="46"/>
  <c r="C305" i="46"/>
  <c r="D305" i="46"/>
  <c r="E305" i="46"/>
  <c r="C306" i="46"/>
  <c r="D306" i="46"/>
  <c r="E306" i="46"/>
  <c r="C307" i="46"/>
  <c r="D307" i="46"/>
  <c r="E307" i="46"/>
  <c r="C308" i="46"/>
  <c r="D308" i="46"/>
  <c r="E308" i="46"/>
  <c r="C309" i="46"/>
  <c r="D309" i="46"/>
  <c r="E309" i="46"/>
  <c r="C310" i="46"/>
  <c r="D310" i="46"/>
  <c r="E310" i="46"/>
  <c r="C311" i="46"/>
  <c r="D311" i="46"/>
  <c r="E311" i="46"/>
  <c r="C312" i="46"/>
  <c r="D312" i="46"/>
  <c r="E312" i="46"/>
  <c r="C313" i="46"/>
  <c r="D313" i="46"/>
  <c r="E313" i="46"/>
  <c r="C314" i="46"/>
  <c r="D314" i="46"/>
  <c r="E314" i="46"/>
  <c r="C315" i="46"/>
  <c r="D315" i="46"/>
  <c r="E315" i="46"/>
  <c r="C316" i="46"/>
  <c r="D316" i="46"/>
  <c r="E316" i="46"/>
  <c r="C317" i="46"/>
  <c r="D317" i="46"/>
  <c r="E317" i="46"/>
  <c r="C318" i="46"/>
  <c r="D318" i="46"/>
  <c r="E318" i="46"/>
  <c r="C319" i="46"/>
  <c r="D319" i="46"/>
  <c r="E319" i="46"/>
  <c r="C320" i="46"/>
  <c r="D320" i="46"/>
  <c r="E320" i="46"/>
  <c r="C321" i="46"/>
  <c r="D321" i="46"/>
  <c r="E321" i="46"/>
  <c r="C322" i="46"/>
  <c r="D322" i="46"/>
  <c r="E322" i="46"/>
  <c r="C323" i="46"/>
  <c r="D323" i="46"/>
  <c r="E323" i="46"/>
  <c r="C324" i="46"/>
  <c r="D324" i="46"/>
  <c r="E324" i="46"/>
  <c r="C325" i="46"/>
  <c r="D325" i="46"/>
  <c r="E325" i="46"/>
  <c r="C326" i="46"/>
  <c r="D326" i="46"/>
  <c r="E326" i="46"/>
  <c r="C327" i="46"/>
  <c r="D327" i="46"/>
  <c r="E327" i="46"/>
  <c r="C328" i="46"/>
  <c r="D328" i="46"/>
  <c r="E328" i="46"/>
  <c r="C329" i="46"/>
  <c r="D329" i="46"/>
  <c r="E329" i="46"/>
  <c r="C330" i="46"/>
  <c r="D330" i="46"/>
  <c r="E330" i="46"/>
  <c r="C331" i="46"/>
  <c r="D331" i="46"/>
  <c r="E331" i="46"/>
  <c r="C332" i="46"/>
  <c r="D332" i="46"/>
  <c r="E332" i="46"/>
  <c r="C333" i="46"/>
  <c r="D333" i="46"/>
  <c r="E333" i="46"/>
  <c r="C334" i="46"/>
  <c r="D334" i="46"/>
  <c r="E334" i="46"/>
  <c r="C335" i="46"/>
  <c r="D335" i="46"/>
  <c r="E335" i="46"/>
  <c r="C336" i="46"/>
  <c r="D336" i="46"/>
  <c r="E336" i="46"/>
  <c r="C337" i="46"/>
  <c r="D337" i="46"/>
  <c r="E337" i="46"/>
  <c r="C338" i="46"/>
  <c r="D338" i="46"/>
  <c r="E338" i="46"/>
  <c r="C339" i="46"/>
  <c r="D339" i="46"/>
  <c r="E339" i="46"/>
  <c r="C340" i="46"/>
  <c r="D340" i="46"/>
  <c r="E340" i="46"/>
  <c r="C341" i="46"/>
  <c r="D341" i="46"/>
  <c r="E341" i="46"/>
  <c r="C342" i="46"/>
  <c r="D342" i="46"/>
  <c r="E342" i="46"/>
  <c r="C343" i="46"/>
  <c r="D343" i="46"/>
  <c r="E343" i="46"/>
  <c r="C344" i="46"/>
  <c r="D344" i="46"/>
  <c r="E344" i="46"/>
  <c r="C345" i="46"/>
  <c r="D345" i="46"/>
  <c r="E345" i="46"/>
  <c r="C346" i="46"/>
  <c r="D346" i="46"/>
  <c r="E346" i="46"/>
  <c r="C347" i="46"/>
  <c r="D347" i="46"/>
  <c r="E347" i="46"/>
  <c r="C348" i="46"/>
  <c r="D348" i="46"/>
  <c r="E348" i="46"/>
  <c r="C349" i="46"/>
  <c r="D349" i="46"/>
  <c r="E349" i="46"/>
  <c r="C350" i="46"/>
  <c r="D350" i="46"/>
  <c r="E350" i="46"/>
  <c r="C351" i="46"/>
  <c r="D351" i="46"/>
  <c r="E351" i="46"/>
  <c r="C352" i="46"/>
  <c r="D352" i="46"/>
  <c r="E352" i="46"/>
  <c r="C353" i="46"/>
  <c r="D353" i="46"/>
  <c r="E353" i="46"/>
  <c r="C354" i="46"/>
  <c r="D354" i="46"/>
  <c r="E354" i="46"/>
  <c r="C355" i="46"/>
  <c r="D355" i="46"/>
  <c r="E355" i="46"/>
  <c r="C356" i="46"/>
  <c r="D356" i="46"/>
  <c r="E356" i="46"/>
  <c r="C357" i="46"/>
  <c r="D357" i="46"/>
  <c r="E357" i="46"/>
  <c r="C358" i="46"/>
  <c r="D358" i="46"/>
  <c r="E358" i="46"/>
  <c r="C359" i="46"/>
  <c r="D359" i="46"/>
  <c r="E359" i="46"/>
  <c r="C360" i="46"/>
  <c r="D360" i="46"/>
  <c r="E360" i="46"/>
  <c r="C361" i="46"/>
  <c r="D361" i="46"/>
  <c r="E361" i="46"/>
  <c r="C362" i="46"/>
  <c r="D362" i="46"/>
  <c r="E362" i="46"/>
  <c r="C363" i="46"/>
  <c r="D363" i="46"/>
  <c r="E363" i="46"/>
  <c r="C364" i="46"/>
  <c r="D364" i="46"/>
  <c r="E364" i="46"/>
  <c r="C365" i="46"/>
  <c r="D365" i="46"/>
  <c r="E365" i="46"/>
  <c r="C366" i="46"/>
  <c r="D366" i="46"/>
  <c r="E366" i="46"/>
  <c r="C367" i="46"/>
  <c r="D367" i="46"/>
  <c r="E367" i="46"/>
  <c r="C368" i="46"/>
  <c r="D368" i="46"/>
  <c r="E368" i="46"/>
  <c r="C369" i="46"/>
  <c r="D369" i="46"/>
  <c r="E369" i="46"/>
  <c r="C370" i="46"/>
  <c r="D370" i="46"/>
  <c r="E370" i="46"/>
  <c r="C371" i="46"/>
  <c r="D371" i="46"/>
  <c r="E371" i="46"/>
  <c r="C372" i="46"/>
  <c r="D372" i="46"/>
  <c r="E372" i="46"/>
  <c r="C373" i="46"/>
  <c r="D373" i="46"/>
  <c r="E373" i="46"/>
  <c r="C374" i="46"/>
  <c r="D374" i="46"/>
  <c r="E374" i="46"/>
  <c r="C375" i="46"/>
  <c r="D375" i="46"/>
  <c r="E375" i="46"/>
  <c r="C376" i="46"/>
  <c r="D376" i="46"/>
  <c r="E376" i="46"/>
  <c r="C377" i="46"/>
  <c r="D377" i="46"/>
  <c r="E377" i="46"/>
  <c r="C378" i="46"/>
  <c r="D378" i="46"/>
  <c r="E378" i="46"/>
  <c r="C379" i="46"/>
  <c r="D379" i="46"/>
  <c r="E379" i="46"/>
  <c r="C380" i="46"/>
  <c r="D380" i="46"/>
  <c r="E380" i="46"/>
  <c r="C381" i="46"/>
  <c r="D381" i="46"/>
  <c r="E381" i="46"/>
  <c r="C382" i="46"/>
  <c r="D382" i="46"/>
  <c r="E382" i="46"/>
  <c r="C383" i="46"/>
  <c r="D383" i="46"/>
  <c r="E383" i="46"/>
  <c r="C384" i="46"/>
  <c r="D384" i="46"/>
  <c r="E384" i="46"/>
  <c r="C385" i="46"/>
  <c r="D385" i="46"/>
  <c r="E385" i="46"/>
  <c r="C386" i="46"/>
  <c r="D386" i="46"/>
  <c r="E386" i="46"/>
  <c r="C387" i="46"/>
  <c r="D387" i="46"/>
  <c r="E387" i="46"/>
  <c r="C388" i="46"/>
  <c r="D388" i="46"/>
  <c r="E388" i="46"/>
  <c r="C389" i="46"/>
  <c r="D389" i="46"/>
  <c r="E389" i="46"/>
  <c r="C390" i="46"/>
  <c r="D390" i="46"/>
  <c r="E390" i="46"/>
  <c r="C391" i="46"/>
  <c r="D391" i="46"/>
  <c r="E391" i="46"/>
  <c r="C392" i="46"/>
  <c r="D392" i="46"/>
  <c r="E392" i="46"/>
  <c r="C393" i="46"/>
  <c r="D393" i="46"/>
  <c r="E393" i="46"/>
  <c r="C394" i="46"/>
  <c r="D394" i="46"/>
  <c r="E394" i="46"/>
  <c r="C395" i="46"/>
  <c r="D395" i="46"/>
  <c r="E395" i="46"/>
  <c r="C396" i="46"/>
  <c r="D396" i="46"/>
  <c r="E396" i="46"/>
  <c r="C397" i="46"/>
  <c r="D397" i="46"/>
  <c r="E397" i="46"/>
  <c r="C398" i="46"/>
  <c r="D398" i="46"/>
  <c r="E398" i="46"/>
  <c r="C399" i="46"/>
  <c r="D399" i="46"/>
  <c r="E399" i="46"/>
  <c r="C400" i="46"/>
  <c r="D400" i="46"/>
  <c r="E400" i="46"/>
  <c r="C401" i="46"/>
  <c r="D401" i="46"/>
  <c r="E401" i="46"/>
  <c r="C402" i="46"/>
  <c r="D402" i="46"/>
  <c r="E402" i="46"/>
  <c r="C403" i="46"/>
  <c r="D403" i="46"/>
  <c r="E403" i="46"/>
  <c r="C404" i="46"/>
  <c r="D404" i="46"/>
  <c r="E404" i="46"/>
  <c r="C405" i="46"/>
  <c r="D405" i="46"/>
  <c r="E405" i="46"/>
  <c r="C406" i="46"/>
  <c r="D406" i="46"/>
  <c r="E406" i="46"/>
  <c r="C407" i="46"/>
  <c r="D407" i="46"/>
  <c r="E407" i="46"/>
  <c r="C408" i="46"/>
  <c r="D408" i="46"/>
  <c r="E408" i="46"/>
  <c r="C409" i="46"/>
  <c r="D409" i="46"/>
  <c r="E409" i="46"/>
  <c r="C410" i="46"/>
  <c r="D410" i="46"/>
  <c r="E410" i="46"/>
  <c r="C411" i="46"/>
  <c r="D411" i="46"/>
  <c r="E411" i="46"/>
  <c r="C412" i="46"/>
  <c r="D412" i="46"/>
  <c r="E412" i="46"/>
  <c r="C413" i="46"/>
  <c r="D413" i="46"/>
  <c r="E413" i="46"/>
  <c r="C414" i="46"/>
  <c r="D414" i="46"/>
  <c r="E414" i="46"/>
  <c r="C415" i="46"/>
  <c r="D415" i="46"/>
  <c r="E415" i="46"/>
  <c r="C416" i="46"/>
  <c r="D416" i="46"/>
  <c r="E416" i="46"/>
  <c r="C417" i="46"/>
  <c r="D417" i="46"/>
  <c r="E417" i="46"/>
  <c r="C418" i="46"/>
  <c r="D418" i="46"/>
  <c r="E418" i="46"/>
  <c r="C419" i="46"/>
  <c r="D419" i="46"/>
  <c r="E419" i="46"/>
  <c r="C420" i="46"/>
  <c r="D420" i="46"/>
  <c r="E420" i="46"/>
  <c r="C421" i="46"/>
  <c r="D421" i="46"/>
  <c r="E421" i="46"/>
  <c r="C422" i="46"/>
  <c r="D422" i="46"/>
  <c r="E422" i="46"/>
  <c r="C423" i="46"/>
  <c r="D423" i="46"/>
  <c r="E423" i="46"/>
  <c r="C424" i="46"/>
  <c r="D424" i="46"/>
  <c r="E424" i="46"/>
  <c r="C425" i="46"/>
  <c r="D425" i="46"/>
  <c r="E425" i="46"/>
  <c r="C426" i="46"/>
  <c r="D426" i="46"/>
  <c r="E426" i="46"/>
  <c r="C427" i="46"/>
  <c r="D427" i="46"/>
  <c r="E427" i="46"/>
  <c r="C428" i="46"/>
  <c r="D428" i="46"/>
  <c r="E428" i="46"/>
  <c r="C429" i="46"/>
  <c r="D429" i="46"/>
  <c r="E429" i="46"/>
  <c r="C430" i="46"/>
  <c r="D430" i="46"/>
  <c r="E430" i="46"/>
  <c r="C431" i="46"/>
  <c r="D431" i="46"/>
  <c r="E431" i="46"/>
  <c r="C432" i="46"/>
  <c r="D432" i="46"/>
  <c r="E432" i="46"/>
  <c r="C433" i="46"/>
  <c r="D433" i="46"/>
  <c r="E433" i="46"/>
  <c r="C434" i="46"/>
  <c r="D434" i="46"/>
  <c r="E434" i="46"/>
  <c r="C435" i="46"/>
  <c r="D435" i="46"/>
  <c r="E435" i="46"/>
  <c r="C436" i="46"/>
  <c r="D436" i="46"/>
  <c r="E436" i="46"/>
  <c r="C437" i="46"/>
  <c r="D437" i="46"/>
  <c r="E437" i="46"/>
  <c r="C438" i="46"/>
  <c r="D438" i="46"/>
  <c r="E438" i="46"/>
  <c r="C439" i="46"/>
  <c r="D439" i="46"/>
  <c r="E439" i="46"/>
  <c r="C440" i="46"/>
  <c r="D440" i="46"/>
  <c r="E440" i="46"/>
  <c r="C441" i="46"/>
  <c r="D441" i="46"/>
  <c r="E441" i="46"/>
  <c r="C442" i="46"/>
  <c r="D442" i="46"/>
  <c r="E442" i="46"/>
  <c r="C443" i="46"/>
  <c r="D443" i="46"/>
  <c r="E443" i="46"/>
  <c r="C444" i="46"/>
  <c r="D444" i="46"/>
  <c r="E444" i="46"/>
  <c r="C445" i="46"/>
  <c r="D445" i="46"/>
  <c r="E445" i="46"/>
  <c r="C446" i="46"/>
  <c r="D446" i="46"/>
  <c r="E446" i="46"/>
  <c r="C447" i="46"/>
  <c r="D447" i="46"/>
  <c r="E447" i="46"/>
  <c r="C448" i="46"/>
  <c r="D448" i="46"/>
  <c r="E448" i="46"/>
  <c r="C449" i="46"/>
  <c r="D449" i="46"/>
  <c r="E449" i="46"/>
  <c r="C450" i="46"/>
  <c r="D450" i="46"/>
  <c r="E450" i="46"/>
  <c r="C451" i="46"/>
  <c r="D451" i="46"/>
  <c r="E451" i="46"/>
  <c r="C452" i="46"/>
  <c r="D452" i="46"/>
  <c r="E452" i="46"/>
  <c r="C453" i="46"/>
  <c r="D453" i="46"/>
  <c r="E453" i="46"/>
  <c r="C454" i="46"/>
  <c r="D454" i="46"/>
  <c r="E454" i="46"/>
  <c r="C455" i="46"/>
  <c r="D455" i="46"/>
  <c r="E455" i="46"/>
  <c r="C456" i="46"/>
  <c r="D456" i="46"/>
  <c r="E456" i="46"/>
  <c r="C457" i="46"/>
  <c r="D457" i="46"/>
  <c r="E457" i="46"/>
  <c r="C458" i="46"/>
  <c r="D458" i="46"/>
  <c r="E458" i="46"/>
  <c r="C459" i="46"/>
  <c r="D459" i="46"/>
  <c r="E459" i="46"/>
  <c r="C460" i="46"/>
  <c r="D460" i="46"/>
  <c r="E460" i="46"/>
  <c r="C461" i="46"/>
  <c r="D461" i="46"/>
  <c r="E461" i="46"/>
  <c r="C462" i="46"/>
  <c r="D462" i="46"/>
  <c r="E462" i="46"/>
  <c r="C463" i="46"/>
  <c r="D463" i="46"/>
  <c r="E463" i="46"/>
  <c r="C464" i="46"/>
  <c r="D464" i="46"/>
  <c r="E464" i="46"/>
  <c r="C465" i="46"/>
  <c r="D465" i="46"/>
  <c r="E465" i="46"/>
  <c r="C466" i="46"/>
  <c r="D466" i="46"/>
  <c r="E466" i="46"/>
  <c r="C467" i="46"/>
  <c r="D467" i="46"/>
  <c r="E467" i="46"/>
  <c r="C468" i="46"/>
  <c r="D468" i="46"/>
  <c r="E468" i="46"/>
  <c r="C469" i="46"/>
  <c r="D469" i="46"/>
  <c r="E469" i="46"/>
  <c r="C470" i="46"/>
  <c r="D470" i="46"/>
  <c r="E470" i="46"/>
  <c r="C471" i="46"/>
  <c r="D471" i="46"/>
  <c r="E471" i="46"/>
  <c r="C472" i="46"/>
  <c r="D472" i="46"/>
  <c r="E472" i="46"/>
  <c r="C473" i="46"/>
  <c r="D473" i="46"/>
  <c r="E473" i="46"/>
  <c r="C474" i="46"/>
  <c r="D474" i="46"/>
  <c r="E474" i="46"/>
  <c r="C475" i="46"/>
  <c r="D475" i="46"/>
  <c r="E475" i="46"/>
  <c r="C476" i="46"/>
  <c r="D476" i="46"/>
  <c r="E476" i="46"/>
  <c r="C477" i="46"/>
  <c r="D477" i="46"/>
  <c r="E477" i="46"/>
  <c r="C478" i="46"/>
  <c r="D478" i="46"/>
  <c r="E478" i="46"/>
  <c r="C479" i="46"/>
  <c r="D479" i="46"/>
  <c r="E479" i="46"/>
  <c r="C480" i="46"/>
  <c r="D480" i="46"/>
  <c r="E480" i="46"/>
  <c r="C481" i="46"/>
  <c r="D481" i="46"/>
  <c r="E481" i="46"/>
  <c r="C482" i="46"/>
  <c r="D482" i="46"/>
  <c r="E482" i="46"/>
  <c r="C483" i="46"/>
  <c r="D483" i="46"/>
  <c r="E483" i="46"/>
  <c r="C484" i="46"/>
  <c r="D484" i="46"/>
  <c r="E484" i="46"/>
  <c r="C485" i="46"/>
  <c r="D485" i="46"/>
  <c r="E485" i="46"/>
  <c r="C486" i="46"/>
  <c r="D486" i="46"/>
  <c r="E486" i="46"/>
  <c r="C487" i="46"/>
  <c r="D487" i="46"/>
  <c r="E487" i="46"/>
  <c r="C488" i="46"/>
  <c r="D488" i="46"/>
  <c r="E488" i="46"/>
  <c r="C489" i="46"/>
  <c r="D489" i="46"/>
  <c r="E489" i="46"/>
  <c r="C490" i="46"/>
  <c r="D490" i="46"/>
  <c r="E490" i="46"/>
  <c r="C491" i="46"/>
  <c r="D491" i="46"/>
  <c r="E491" i="46"/>
  <c r="C492" i="46"/>
  <c r="D492" i="46"/>
  <c r="E492" i="46"/>
  <c r="C493" i="46"/>
  <c r="D493" i="46"/>
  <c r="E493" i="46"/>
  <c r="C494" i="46"/>
  <c r="D494" i="46"/>
  <c r="E494" i="46"/>
  <c r="C495" i="46"/>
  <c r="D495" i="46"/>
  <c r="E495" i="46"/>
  <c r="C496" i="46"/>
  <c r="D496" i="46"/>
  <c r="E496" i="46"/>
  <c r="C497" i="46"/>
  <c r="D497" i="46"/>
  <c r="E497" i="46"/>
  <c r="C498" i="46"/>
  <c r="D498" i="46"/>
  <c r="E498" i="46"/>
  <c r="C499" i="46"/>
  <c r="D499" i="46"/>
  <c r="E499" i="46"/>
  <c r="C500" i="46"/>
  <c r="D500" i="46"/>
  <c r="E500" i="46"/>
  <c r="C501" i="46"/>
  <c r="D501" i="46"/>
  <c r="E501" i="46"/>
  <c r="C502" i="46"/>
  <c r="D502" i="46"/>
  <c r="E502" i="46"/>
  <c r="C503" i="46"/>
  <c r="D503" i="46"/>
  <c r="E503" i="46"/>
  <c r="C504" i="46"/>
  <c r="D504" i="46"/>
  <c r="E504" i="46"/>
  <c r="C505" i="46"/>
  <c r="D505" i="46"/>
  <c r="E505" i="46"/>
  <c r="C506" i="46"/>
  <c r="D506" i="46"/>
  <c r="E506" i="46"/>
  <c r="C507" i="46"/>
  <c r="D507" i="46"/>
  <c r="E507" i="46"/>
  <c r="C508" i="46"/>
  <c r="D508" i="46"/>
  <c r="E508" i="46"/>
  <c r="C509" i="46"/>
  <c r="D509" i="46"/>
  <c r="E509" i="46"/>
  <c r="C510" i="46"/>
  <c r="D510" i="46"/>
  <c r="E510" i="46"/>
  <c r="C511" i="46"/>
  <c r="D511" i="46"/>
  <c r="E511" i="46"/>
  <c r="C512" i="46"/>
  <c r="D512" i="46"/>
  <c r="E512" i="46"/>
  <c r="C513" i="46"/>
  <c r="D513" i="46"/>
  <c r="E513" i="46"/>
  <c r="C514" i="46"/>
  <c r="D514" i="46"/>
  <c r="E514" i="46"/>
  <c r="C515" i="46"/>
  <c r="D515" i="46"/>
  <c r="E515" i="46"/>
  <c r="C516" i="46"/>
  <c r="D516" i="46"/>
  <c r="E516" i="46"/>
  <c r="C517" i="46"/>
  <c r="D517" i="46"/>
  <c r="E517" i="46"/>
  <c r="C518" i="46"/>
  <c r="D518" i="46"/>
  <c r="E518" i="46"/>
  <c r="C519" i="46"/>
  <c r="D519" i="46"/>
  <c r="E519" i="46"/>
  <c r="C520" i="46"/>
  <c r="D520" i="46"/>
  <c r="E520" i="46"/>
  <c r="C521" i="46"/>
  <c r="D521" i="46"/>
  <c r="E521" i="46"/>
  <c r="C522" i="46"/>
  <c r="D522" i="46"/>
  <c r="E522" i="46"/>
  <c r="C523" i="46"/>
  <c r="D523" i="46"/>
  <c r="E523" i="46"/>
  <c r="C524" i="46"/>
  <c r="D524" i="46"/>
  <c r="E524" i="46"/>
  <c r="C525" i="46"/>
  <c r="D525" i="46"/>
  <c r="E525" i="46"/>
  <c r="C526" i="46"/>
  <c r="D526" i="46"/>
  <c r="E526" i="46"/>
  <c r="C527" i="46"/>
  <c r="D527" i="46"/>
  <c r="E527" i="46"/>
  <c r="C528" i="46"/>
  <c r="D528" i="46"/>
  <c r="E528" i="46"/>
  <c r="C529" i="46"/>
  <c r="D529" i="46"/>
  <c r="E529" i="46"/>
  <c r="C530" i="46"/>
  <c r="D530" i="46"/>
  <c r="E530" i="46"/>
  <c r="C531" i="46"/>
  <c r="D531" i="46"/>
  <c r="E531" i="46"/>
  <c r="C532" i="46"/>
  <c r="D532" i="46"/>
  <c r="E532" i="46"/>
  <c r="C533" i="46"/>
  <c r="D533" i="46"/>
  <c r="E533" i="46"/>
  <c r="C534" i="46"/>
  <c r="D534" i="46"/>
  <c r="E534" i="46"/>
  <c r="C535" i="46"/>
  <c r="D535" i="46"/>
  <c r="E535" i="46"/>
  <c r="C536" i="46"/>
  <c r="D536" i="46"/>
  <c r="E536" i="46"/>
  <c r="C537" i="46"/>
  <c r="D537" i="46"/>
  <c r="E537" i="46"/>
  <c r="C538" i="46"/>
  <c r="D538" i="46"/>
  <c r="E538" i="46"/>
  <c r="C539" i="46"/>
  <c r="D539" i="46"/>
  <c r="E539" i="46"/>
  <c r="C540" i="46"/>
  <c r="D540" i="46"/>
  <c r="E540" i="46"/>
  <c r="C541" i="46"/>
  <c r="D541" i="46"/>
  <c r="E541" i="46"/>
  <c r="C542" i="46"/>
  <c r="D542" i="46"/>
  <c r="E542" i="46"/>
  <c r="C543" i="46"/>
  <c r="D543" i="46"/>
  <c r="E543" i="46"/>
  <c r="C544" i="46"/>
  <c r="D544" i="46"/>
  <c r="E544" i="46"/>
  <c r="C545" i="46"/>
  <c r="D545" i="46"/>
  <c r="E545" i="46"/>
  <c r="C546" i="46"/>
  <c r="D546" i="46"/>
  <c r="E546" i="46"/>
  <c r="C547" i="46"/>
  <c r="D547" i="46"/>
  <c r="E547" i="46"/>
  <c r="C548" i="46"/>
  <c r="D548" i="46"/>
  <c r="E548" i="46"/>
  <c r="C549" i="46"/>
  <c r="D549" i="46"/>
  <c r="E549" i="46"/>
  <c r="C550" i="46"/>
  <c r="D550" i="46"/>
  <c r="E550" i="46"/>
  <c r="C551" i="46"/>
  <c r="D551" i="46"/>
  <c r="E551" i="46"/>
  <c r="C552" i="46"/>
  <c r="D552" i="46"/>
  <c r="E552" i="46"/>
  <c r="C553" i="46"/>
  <c r="D553" i="46"/>
  <c r="E553" i="46"/>
  <c r="C554" i="46"/>
  <c r="D554" i="46"/>
  <c r="E554" i="46"/>
  <c r="C555" i="46"/>
  <c r="D555" i="46"/>
  <c r="E555" i="46"/>
  <c r="C556" i="46"/>
  <c r="D556" i="46"/>
  <c r="E556" i="46"/>
  <c r="C557" i="46"/>
  <c r="D557" i="46"/>
  <c r="E557" i="46"/>
  <c r="C558" i="46"/>
  <c r="D558" i="46"/>
  <c r="E558" i="46"/>
  <c r="C559" i="46"/>
  <c r="D559" i="46"/>
  <c r="E559" i="46"/>
  <c r="C560" i="46"/>
  <c r="D560" i="46"/>
  <c r="E560" i="46"/>
  <c r="C561" i="46"/>
  <c r="D561" i="46"/>
  <c r="E561" i="46"/>
  <c r="C562" i="46"/>
  <c r="D562" i="46"/>
  <c r="E562" i="46"/>
  <c r="C563" i="46"/>
  <c r="D563" i="46"/>
  <c r="E563" i="46"/>
  <c r="C564" i="46"/>
  <c r="D564" i="46"/>
  <c r="E564" i="46"/>
  <c r="C565" i="46"/>
  <c r="D565" i="46"/>
  <c r="E565" i="46"/>
  <c r="C566" i="46"/>
  <c r="D566" i="46"/>
  <c r="E566" i="46"/>
  <c r="C567" i="46"/>
  <c r="D567" i="46"/>
  <c r="E567" i="46"/>
  <c r="C568" i="46"/>
  <c r="D568" i="46"/>
  <c r="E568" i="46"/>
  <c r="C569" i="46"/>
  <c r="D569" i="46"/>
  <c r="E569" i="46"/>
  <c r="C570" i="46"/>
  <c r="D570" i="46"/>
  <c r="E570" i="46"/>
  <c r="C571" i="46"/>
  <c r="D571" i="46"/>
  <c r="E571" i="46"/>
  <c r="C572" i="46"/>
  <c r="D572" i="46"/>
  <c r="E572" i="46"/>
  <c r="C573" i="46"/>
  <c r="D573" i="46"/>
  <c r="E573" i="46"/>
  <c r="C574" i="46"/>
  <c r="D574" i="46"/>
  <c r="E574" i="46"/>
  <c r="C575" i="46"/>
  <c r="D575" i="46"/>
  <c r="E575" i="46"/>
  <c r="C576" i="46"/>
  <c r="D576" i="46"/>
  <c r="E576" i="46"/>
  <c r="C577" i="46"/>
  <c r="D577" i="46"/>
  <c r="E577" i="46"/>
  <c r="C578" i="46"/>
  <c r="D578" i="46"/>
  <c r="E578" i="46"/>
  <c r="C579" i="46"/>
  <c r="D579" i="46"/>
  <c r="E579" i="46"/>
  <c r="C580" i="46"/>
  <c r="D580" i="46"/>
  <c r="E580" i="46"/>
  <c r="C581" i="46"/>
  <c r="D581" i="46"/>
  <c r="E581" i="46"/>
  <c r="C582" i="46"/>
  <c r="D582" i="46"/>
  <c r="E582" i="46"/>
  <c r="C583" i="46"/>
  <c r="D583" i="46"/>
  <c r="E583" i="46"/>
  <c r="C584" i="46"/>
  <c r="D584" i="46"/>
  <c r="E584" i="46"/>
  <c r="C585" i="46"/>
  <c r="D585" i="46"/>
  <c r="E585" i="46"/>
  <c r="C586" i="46"/>
  <c r="D586" i="46"/>
  <c r="E586" i="46"/>
  <c r="C587" i="46"/>
  <c r="D587" i="46"/>
  <c r="E587" i="46"/>
  <c r="C588" i="46"/>
  <c r="D588" i="46"/>
  <c r="E588" i="46"/>
  <c r="C589" i="46"/>
  <c r="D589" i="46"/>
  <c r="E589" i="46"/>
  <c r="C590" i="46"/>
  <c r="D590" i="46"/>
  <c r="E590" i="46"/>
  <c r="C591" i="46"/>
  <c r="D591" i="46"/>
  <c r="E591" i="46"/>
  <c r="C592" i="46"/>
  <c r="D592" i="46"/>
  <c r="E592" i="46"/>
  <c r="C593" i="46"/>
  <c r="D593" i="46"/>
  <c r="E593" i="46"/>
  <c r="C594" i="46"/>
  <c r="D594" i="46"/>
  <c r="E594" i="46"/>
  <c r="C595" i="46"/>
  <c r="D595" i="46"/>
  <c r="E595" i="46"/>
  <c r="C596" i="46"/>
  <c r="D596" i="46"/>
  <c r="E596" i="46"/>
  <c r="C597" i="46"/>
  <c r="D597" i="46"/>
  <c r="E597" i="46"/>
  <c r="C598" i="46"/>
  <c r="D598" i="46"/>
  <c r="E598" i="46"/>
  <c r="C599" i="46"/>
  <c r="D599" i="46"/>
  <c r="E599" i="46"/>
  <c r="C600" i="46"/>
  <c r="D600" i="46"/>
  <c r="E600" i="46"/>
  <c r="C601" i="46"/>
  <c r="D601" i="46"/>
  <c r="E601" i="46"/>
  <c r="C602" i="46"/>
  <c r="D602" i="46"/>
  <c r="E602" i="46"/>
  <c r="C603" i="46"/>
  <c r="D603" i="46"/>
  <c r="E603" i="46"/>
  <c r="C604" i="46"/>
  <c r="D604" i="46"/>
  <c r="E604" i="46"/>
  <c r="C605" i="46"/>
  <c r="D605" i="46"/>
  <c r="E605" i="46"/>
  <c r="C606" i="46"/>
  <c r="D606" i="46"/>
  <c r="E606" i="46"/>
  <c r="C607" i="46"/>
  <c r="D607" i="46"/>
  <c r="E607" i="46"/>
  <c r="C608" i="46"/>
  <c r="D608" i="46"/>
  <c r="E608" i="46"/>
  <c r="C609" i="46"/>
  <c r="D609" i="46"/>
  <c r="E609" i="46"/>
  <c r="C610" i="46"/>
  <c r="D610" i="46"/>
  <c r="E610" i="46"/>
  <c r="C611" i="46"/>
  <c r="D611" i="46"/>
  <c r="E611" i="46"/>
  <c r="C612" i="46"/>
  <c r="D612" i="46"/>
  <c r="E612" i="46"/>
  <c r="C613" i="46"/>
  <c r="D613" i="46"/>
  <c r="E613" i="46"/>
  <c r="C614" i="46"/>
  <c r="D614" i="46"/>
  <c r="E614" i="46"/>
  <c r="C615" i="46"/>
  <c r="D615" i="46"/>
  <c r="E615" i="46"/>
  <c r="C616" i="46"/>
  <c r="D616" i="46"/>
  <c r="E616" i="46"/>
  <c r="C617" i="46"/>
  <c r="D617" i="46"/>
  <c r="E617" i="46"/>
  <c r="C618" i="46"/>
  <c r="D618" i="46"/>
  <c r="E618" i="46"/>
  <c r="C619" i="46"/>
  <c r="D619" i="46"/>
  <c r="E619" i="46"/>
  <c r="C620" i="46"/>
  <c r="D620" i="46"/>
  <c r="E620" i="46"/>
  <c r="C621" i="46"/>
  <c r="D621" i="46"/>
  <c r="E621" i="46"/>
  <c r="C622" i="46"/>
  <c r="D622" i="46"/>
  <c r="E622" i="46"/>
  <c r="C623" i="46"/>
  <c r="D623" i="46"/>
  <c r="E623" i="46"/>
  <c r="C624" i="46"/>
  <c r="D624" i="46"/>
  <c r="E624" i="46"/>
  <c r="C625" i="46"/>
  <c r="D625" i="46"/>
  <c r="E625" i="46"/>
  <c r="C626" i="46"/>
  <c r="D626" i="46"/>
  <c r="E626" i="46"/>
  <c r="C627" i="46"/>
  <c r="D627" i="46"/>
  <c r="E627" i="46"/>
  <c r="C628" i="46"/>
  <c r="D628" i="46"/>
  <c r="E628" i="46"/>
  <c r="C629" i="46"/>
  <c r="D629" i="46"/>
  <c r="E629" i="46"/>
  <c r="C630" i="46"/>
  <c r="D630" i="46"/>
  <c r="E630" i="46"/>
  <c r="C631" i="46"/>
  <c r="D631" i="46"/>
  <c r="E631" i="46"/>
  <c r="C632" i="46"/>
  <c r="D632" i="46"/>
  <c r="E632" i="46"/>
  <c r="C633" i="46"/>
  <c r="D633" i="46"/>
  <c r="E633" i="46"/>
  <c r="C634" i="46"/>
  <c r="D634" i="46"/>
  <c r="E634" i="46"/>
  <c r="C635" i="46"/>
  <c r="D635" i="46"/>
  <c r="E635" i="46"/>
  <c r="C636" i="46"/>
  <c r="D636" i="46"/>
  <c r="E636" i="46"/>
  <c r="C637" i="46"/>
  <c r="D637" i="46"/>
  <c r="E637" i="46"/>
  <c r="C638" i="46"/>
  <c r="D638" i="46"/>
  <c r="E638" i="46"/>
  <c r="C639" i="46"/>
  <c r="D639" i="46"/>
  <c r="E639" i="46"/>
  <c r="C640" i="46"/>
  <c r="D640" i="46"/>
  <c r="E640" i="46"/>
  <c r="C641" i="46"/>
  <c r="D641" i="46"/>
  <c r="E641" i="46"/>
  <c r="C642" i="46"/>
  <c r="D642" i="46"/>
  <c r="E642" i="46"/>
  <c r="C643" i="46"/>
  <c r="D643" i="46"/>
  <c r="E643" i="46"/>
  <c r="C644" i="46"/>
  <c r="D644" i="46"/>
  <c r="E644" i="46"/>
  <c r="C645" i="46"/>
  <c r="D645" i="46"/>
  <c r="E645" i="46"/>
  <c r="C646" i="46"/>
  <c r="D646" i="46"/>
  <c r="E646" i="46"/>
  <c r="C647" i="46"/>
  <c r="D647" i="46"/>
  <c r="E647" i="46"/>
  <c r="C648" i="46"/>
  <c r="D648" i="46"/>
  <c r="E648" i="46"/>
  <c r="C649" i="46"/>
  <c r="D649" i="46"/>
  <c r="E649" i="46"/>
  <c r="C650" i="46"/>
  <c r="D650" i="46"/>
  <c r="E650" i="46"/>
  <c r="C651" i="46"/>
  <c r="D651" i="46"/>
  <c r="E651" i="46"/>
  <c r="C652" i="46"/>
  <c r="D652" i="46"/>
  <c r="E652" i="46"/>
  <c r="C653" i="46"/>
  <c r="D653" i="46"/>
  <c r="E653" i="46"/>
  <c r="C654" i="46"/>
  <c r="D654" i="46"/>
  <c r="E654" i="46"/>
  <c r="C655" i="46"/>
  <c r="D655" i="46"/>
  <c r="E655" i="46"/>
  <c r="C656" i="46"/>
  <c r="D656" i="46"/>
  <c r="E656" i="46"/>
  <c r="C657" i="46"/>
  <c r="D657" i="46"/>
  <c r="E657" i="46"/>
  <c r="C658" i="46"/>
  <c r="D658" i="46"/>
  <c r="E658" i="46"/>
  <c r="C659" i="46"/>
  <c r="D659" i="46"/>
  <c r="E659" i="46"/>
  <c r="C660" i="46"/>
  <c r="D660" i="46"/>
  <c r="E660" i="46"/>
  <c r="C661" i="46"/>
  <c r="D661" i="46"/>
  <c r="E661" i="46"/>
  <c r="C662" i="46"/>
  <c r="D662" i="46"/>
  <c r="E662" i="46"/>
  <c r="C663" i="46"/>
  <c r="D663" i="46"/>
  <c r="E663" i="46"/>
  <c r="C664" i="46"/>
  <c r="D664" i="46"/>
  <c r="E664" i="46"/>
  <c r="C665" i="46"/>
  <c r="D665" i="46"/>
  <c r="E665" i="46"/>
  <c r="C666" i="46"/>
  <c r="D666" i="46"/>
  <c r="E666" i="46"/>
  <c r="C667" i="46"/>
  <c r="D667" i="46"/>
  <c r="E667" i="46"/>
  <c r="C668" i="46"/>
  <c r="D668" i="46"/>
  <c r="E668" i="46"/>
  <c r="C669" i="46"/>
  <c r="D669" i="46"/>
  <c r="E669" i="46"/>
  <c r="C670" i="46"/>
  <c r="D670" i="46"/>
  <c r="E670" i="46"/>
  <c r="C671" i="46"/>
  <c r="D671" i="46"/>
  <c r="E671" i="46"/>
  <c r="C672" i="46"/>
  <c r="D672" i="46"/>
  <c r="E672" i="46"/>
  <c r="C673" i="46"/>
  <c r="D673" i="46"/>
  <c r="E673" i="46"/>
  <c r="C674" i="46"/>
  <c r="D674" i="46"/>
  <c r="E674" i="46"/>
  <c r="C675" i="46"/>
  <c r="D675" i="46"/>
  <c r="E675" i="46"/>
  <c r="C676" i="46"/>
  <c r="D676" i="46"/>
  <c r="E676" i="46"/>
  <c r="C677" i="46"/>
  <c r="D677" i="46"/>
  <c r="E677" i="46"/>
  <c r="C678" i="46"/>
  <c r="D678" i="46"/>
  <c r="E678" i="46"/>
  <c r="C679" i="46"/>
  <c r="D679" i="46"/>
  <c r="E679" i="46"/>
  <c r="C680" i="46"/>
  <c r="D680" i="46"/>
  <c r="E680" i="46"/>
  <c r="C681" i="46"/>
  <c r="D681" i="46"/>
  <c r="E681" i="46"/>
  <c r="C682" i="46"/>
  <c r="D682" i="46"/>
  <c r="E682" i="46"/>
  <c r="C683" i="46"/>
  <c r="D683" i="46"/>
  <c r="E683" i="46"/>
  <c r="C684" i="46"/>
  <c r="D684" i="46"/>
  <c r="E684" i="46"/>
  <c r="C685" i="46"/>
  <c r="D685" i="46"/>
  <c r="E685" i="46"/>
  <c r="C686" i="46"/>
  <c r="D686" i="46"/>
  <c r="E686" i="46"/>
  <c r="C687" i="46"/>
  <c r="D687" i="46"/>
  <c r="E687" i="46"/>
  <c r="C688" i="46"/>
  <c r="D688" i="46"/>
  <c r="E688" i="46"/>
  <c r="C689" i="46"/>
  <c r="D689" i="46"/>
  <c r="E689" i="46"/>
  <c r="C690" i="46"/>
  <c r="D690" i="46"/>
  <c r="E690" i="46"/>
  <c r="C691" i="46"/>
  <c r="D691" i="46"/>
  <c r="E691" i="46"/>
  <c r="C692" i="46"/>
  <c r="D692" i="46"/>
  <c r="E692" i="46"/>
  <c r="C693" i="46"/>
  <c r="D693" i="46"/>
  <c r="E693" i="46"/>
  <c r="C694" i="46"/>
  <c r="D694" i="46"/>
  <c r="E694" i="46"/>
  <c r="C695" i="46"/>
  <c r="D695" i="46"/>
  <c r="E695" i="46"/>
  <c r="C696" i="46"/>
  <c r="D696" i="46"/>
  <c r="E696" i="46"/>
  <c r="C697" i="46"/>
  <c r="D697" i="46"/>
  <c r="E697" i="46"/>
  <c r="C698" i="46"/>
  <c r="D698" i="46"/>
  <c r="E698" i="46"/>
  <c r="C699" i="46"/>
  <c r="D699" i="46"/>
  <c r="E699" i="46"/>
  <c r="C700" i="46"/>
  <c r="D700" i="46"/>
  <c r="E700" i="46"/>
  <c r="C701" i="46"/>
  <c r="D701" i="46"/>
  <c r="E701" i="46"/>
  <c r="C702" i="46"/>
  <c r="D702" i="46"/>
  <c r="E702" i="46"/>
  <c r="C703" i="46"/>
  <c r="D703" i="46"/>
  <c r="E703" i="46"/>
  <c r="C704" i="46"/>
  <c r="D704" i="46"/>
  <c r="E704" i="46"/>
  <c r="C705" i="46"/>
  <c r="D705" i="46"/>
  <c r="E705" i="46"/>
  <c r="C706" i="46"/>
  <c r="D706" i="46"/>
  <c r="E706" i="46"/>
  <c r="C707" i="46"/>
  <c r="D707" i="46"/>
  <c r="E707" i="46"/>
  <c r="C708" i="46"/>
  <c r="D708" i="46"/>
  <c r="E708" i="46"/>
  <c r="C709" i="46"/>
  <c r="D709" i="46"/>
  <c r="E709" i="46"/>
  <c r="C710" i="46"/>
  <c r="D710" i="46"/>
  <c r="E710" i="46"/>
  <c r="C711" i="46"/>
  <c r="D711" i="46"/>
  <c r="E711" i="46"/>
  <c r="C712" i="46"/>
  <c r="D712" i="46"/>
  <c r="E712" i="46"/>
  <c r="C713" i="46"/>
  <c r="D713" i="46"/>
  <c r="E713" i="46"/>
  <c r="C714" i="46"/>
  <c r="D714" i="46"/>
  <c r="E714" i="46"/>
  <c r="C715" i="46"/>
  <c r="D715" i="46"/>
  <c r="E715" i="46"/>
  <c r="C716" i="46"/>
  <c r="D716" i="46"/>
  <c r="E716" i="46"/>
  <c r="C717" i="46"/>
  <c r="D717" i="46"/>
  <c r="E717" i="46"/>
  <c r="C718" i="46"/>
  <c r="D718" i="46"/>
  <c r="E718" i="46"/>
  <c r="C719" i="46"/>
  <c r="D719" i="46"/>
  <c r="E719" i="46"/>
  <c r="C720" i="46"/>
  <c r="D720" i="46"/>
  <c r="E720" i="46"/>
  <c r="C721" i="46"/>
  <c r="D721" i="46"/>
  <c r="E721" i="46"/>
  <c r="C722" i="46"/>
  <c r="D722" i="46"/>
  <c r="E722" i="46"/>
  <c r="C723" i="46"/>
  <c r="D723" i="46"/>
  <c r="E723" i="46"/>
  <c r="C724" i="46"/>
  <c r="D724" i="46"/>
  <c r="E724" i="46"/>
  <c r="C725" i="46"/>
  <c r="D725" i="46"/>
  <c r="E725" i="46"/>
  <c r="C726" i="46"/>
  <c r="D726" i="46"/>
  <c r="E726" i="46"/>
  <c r="C727" i="46"/>
  <c r="D727" i="46"/>
  <c r="E727" i="46"/>
  <c r="C728" i="46"/>
  <c r="D728" i="46"/>
  <c r="E728" i="46"/>
  <c r="C729" i="46"/>
  <c r="D729" i="46"/>
  <c r="E729" i="46"/>
  <c r="C730" i="46"/>
  <c r="D730" i="46"/>
  <c r="E730" i="46"/>
  <c r="C731" i="46"/>
  <c r="D731" i="46"/>
  <c r="E731" i="46"/>
  <c r="C732" i="46"/>
  <c r="D732" i="46"/>
  <c r="E732" i="46"/>
  <c r="C733" i="46"/>
  <c r="D733" i="46"/>
  <c r="E733" i="46"/>
  <c r="C734" i="46"/>
  <c r="D734" i="46"/>
  <c r="E734" i="46"/>
  <c r="C735" i="46"/>
  <c r="D735" i="46"/>
  <c r="E735" i="46"/>
  <c r="C736" i="46"/>
  <c r="D736" i="46"/>
  <c r="E736" i="46"/>
  <c r="C737" i="46"/>
  <c r="D737" i="46"/>
  <c r="E737" i="46"/>
  <c r="C738" i="46"/>
  <c r="D738" i="46"/>
  <c r="E738" i="46"/>
  <c r="C739" i="46"/>
  <c r="D739" i="46"/>
  <c r="E739" i="46"/>
  <c r="C740" i="46"/>
  <c r="D740" i="46"/>
  <c r="E740" i="46"/>
  <c r="C741" i="46"/>
  <c r="D741" i="46"/>
  <c r="E741" i="46"/>
  <c r="C742" i="46"/>
  <c r="D742" i="46"/>
  <c r="E742" i="46"/>
  <c r="C743" i="46"/>
  <c r="D743" i="46"/>
  <c r="E743" i="46"/>
  <c r="C744" i="46"/>
  <c r="D744" i="46"/>
  <c r="E744" i="46"/>
  <c r="C745" i="46"/>
  <c r="D745" i="46"/>
  <c r="E745" i="46"/>
  <c r="C746" i="46"/>
  <c r="D746" i="46"/>
  <c r="E746" i="46"/>
  <c r="C747" i="46"/>
  <c r="D747" i="46"/>
  <c r="E747" i="46"/>
  <c r="C748" i="46"/>
  <c r="D748" i="46"/>
  <c r="E748" i="46"/>
  <c r="C749" i="46"/>
  <c r="D749" i="46"/>
  <c r="E749" i="46"/>
  <c r="C750" i="46"/>
  <c r="D750" i="46"/>
  <c r="E750" i="46"/>
  <c r="C751" i="46"/>
  <c r="D751" i="46"/>
  <c r="E751" i="46"/>
  <c r="C752" i="46"/>
  <c r="D752" i="46"/>
  <c r="E752" i="46"/>
  <c r="C753" i="46"/>
  <c r="D753" i="46"/>
  <c r="E753" i="46"/>
  <c r="C754" i="46"/>
  <c r="D754" i="46"/>
  <c r="E754" i="46"/>
  <c r="C755" i="46"/>
  <c r="D755" i="46"/>
  <c r="E755" i="46"/>
  <c r="C756" i="46"/>
  <c r="D756" i="46"/>
  <c r="E756" i="46"/>
  <c r="C757" i="46"/>
  <c r="D757" i="46"/>
  <c r="E757" i="46"/>
  <c r="C758" i="46"/>
  <c r="D758" i="46"/>
  <c r="E758" i="46"/>
  <c r="C759" i="46"/>
  <c r="D759" i="46"/>
  <c r="E759" i="46"/>
  <c r="C760" i="46"/>
  <c r="D760" i="46"/>
  <c r="E760" i="46"/>
  <c r="C761" i="46"/>
  <c r="D761" i="46"/>
  <c r="E761" i="46"/>
  <c r="C762" i="46"/>
  <c r="D762" i="46"/>
  <c r="E762" i="46"/>
  <c r="C763" i="46"/>
  <c r="D763" i="46"/>
  <c r="E763" i="46"/>
  <c r="C764" i="46"/>
  <c r="D764" i="46"/>
  <c r="E764" i="46"/>
  <c r="C765" i="46"/>
  <c r="D765" i="46"/>
  <c r="E765" i="46"/>
  <c r="C766" i="46"/>
  <c r="D766" i="46"/>
  <c r="E766" i="46"/>
  <c r="C767" i="46"/>
  <c r="D767" i="46"/>
  <c r="E767" i="46"/>
  <c r="C768" i="46"/>
  <c r="D768" i="46"/>
  <c r="E768" i="46"/>
  <c r="C769" i="46"/>
  <c r="D769" i="46"/>
  <c r="E769" i="46"/>
  <c r="C770" i="46"/>
  <c r="D770" i="46"/>
  <c r="E770" i="46"/>
  <c r="C771" i="46"/>
  <c r="D771" i="46"/>
  <c r="E771" i="46"/>
  <c r="C772" i="46"/>
  <c r="D772" i="46"/>
  <c r="E772" i="46"/>
  <c r="C773" i="46"/>
  <c r="D773" i="46"/>
  <c r="E773" i="46"/>
  <c r="C774" i="46"/>
  <c r="D774" i="46"/>
  <c r="E774" i="46"/>
  <c r="C775" i="46"/>
  <c r="D775" i="46"/>
  <c r="E775" i="46"/>
  <c r="C776" i="46"/>
  <c r="D776" i="46"/>
  <c r="E776" i="46"/>
  <c r="C777" i="46"/>
  <c r="D777" i="46"/>
  <c r="E777" i="46"/>
  <c r="C778" i="46"/>
  <c r="D778" i="46"/>
  <c r="E778" i="46"/>
  <c r="C779" i="46"/>
  <c r="D779" i="46"/>
  <c r="E779" i="46"/>
  <c r="C780" i="46"/>
  <c r="D780" i="46"/>
  <c r="E780" i="46"/>
  <c r="C781" i="46"/>
  <c r="D781" i="46"/>
  <c r="E781" i="46"/>
  <c r="C782" i="46"/>
  <c r="D782" i="46"/>
  <c r="E782" i="46"/>
  <c r="C783" i="46"/>
  <c r="D783" i="46"/>
  <c r="E783" i="46"/>
  <c r="C784" i="46"/>
  <c r="D784" i="46"/>
  <c r="E784" i="46"/>
  <c r="C785" i="46"/>
  <c r="D785" i="46"/>
  <c r="E785" i="46"/>
  <c r="C786" i="46"/>
  <c r="D786" i="46"/>
  <c r="E786" i="46"/>
  <c r="C787" i="46"/>
  <c r="D787" i="46"/>
  <c r="E787" i="46"/>
  <c r="C788" i="46"/>
  <c r="D788" i="46"/>
  <c r="E788" i="46"/>
  <c r="C789" i="46"/>
  <c r="D789" i="46"/>
  <c r="E789" i="46"/>
  <c r="C790" i="46"/>
  <c r="D790" i="46"/>
  <c r="E790" i="46"/>
  <c r="C791" i="46"/>
  <c r="D791" i="46"/>
  <c r="E791" i="46"/>
  <c r="C792" i="46"/>
  <c r="D792" i="46"/>
  <c r="E792" i="46"/>
  <c r="C793" i="46"/>
  <c r="D793" i="46"/>
  <c r="E793" i="46"/>
  <c r="C794" i="46"/>
  <c r="D794" i="46"/>
  <c r="E794" i="46"/>
  <c r="C795" i="46"/>
  <c r="D795" i="46"/>
  <c r="E795" i="46"/>
  <c r="C796" i="46"/>
  <c r="D796" i="46"/>
  <c r="E796" i="46"/>
  <c r="C797" i="46"/>
  <c r="D797" i="46"/>
  <c r="E797" i="46"/>
  <c r="C798" i="46"/>
  <c r="D798" i="46"/>
  <c r="E798" i="46"/>
  <c r="C799" i="46"/>
  <c r="D799" i="46"/>
  <c r="E799" i="46"/>
  <c r="C800" i="46"/>
  <c r="D800" i="46"/>
  <c r="E800" i="46"/>
  <c r="C801" i="46"/>
  <c r="D801" i="46"/>
  <c r="E801" i="46"/>
  <c r="C802" i="46"/>
  <c r="D802" i="46"/>
  <c r="E802" i="46"/>
  <c r="C803" i="46"/>
  <c r="D803" i="46"/>
  <c r="E803" i="46"/>
  <c r="C804" i="46"/>
  <c r="D804" i="46"/>
  <c r="E804" i="46"/>
  <c r="C805" i="46"/>
  <c r="D805" i="46"/>
  <c r="E805" i="46"/>
  <c r="C806" i="46"/>
  <c r="D806" i="46"/>
  <c r="E806" i="46"/>
  <c r="C807" i="46"/>
  <c r="D807" i="46"/>
  <c r="E807" i="46"/>
  <c r="C808" i="46"/>
  <c r="D808" i="46"/>
  <c r="E808" i="46"/>
  <c r="C809" i="46"/>
  <c r="D809" i="46"/>
  <c r="E809" i="46"/>
  <c r="C810" i="46"/>
  <c r="D810" i="46"/>
  <c r="E810" i="46"/>
  <c r="C811" i="46"/>
  <c r="D811" i="46"/>
  <c r="E811" i="46"/>
  <c r="C812" i="46"/>
  <c r="D812" i="46"/>
  <c r="E812" i="46"/>
  <c r="C813" i="46"/>
  <c r="D813" i="46"/>
  <c r="E813" i="46"/>
  <c r="C814" i="46"/>
  <c r="D814" i="46"/>
  <c r="E814" i="46"/>
  <c r="C815" i="46"/>
  <c r="D815" i="46"/>
  <c r="E815" i="46"/>
  <c r="C816" i="46"/>
  <c r="D816" i="46"/>
  <c r="E816" i="46"/>
  <c r="C817" i="46"/>
  <c r="D817" i="46"/>
  <c r="E817" i="46"/>
  <c r="C818" i="46"/>
  <c r="D818" i="46"/>
  <c r="E818" i="46"/>
  <c r="C819" i="46"/>
  <c r="D819" i="46"/>
  <c r="E819" i="46"/>
  <c r="C820" i="46"/>
  <c r="D820" i="46"/>
  <c r="E820" i="46"/>
  <c r="C821" i="46"/>
  <c r="D821" i="46"/>
  <c r="E821" i="46"/>
  <c r="C822" i="46"/>
  <c r="D822" i="46"/>
  <c r="E822" i="46"/>
  <c r="C823" i="46"/>
  <c r="D823" i="46"/>
  <c r="E823" i="46"/>
  <c r="C824" i="46"/>
  <c r="D824" i="46"/>
  <c r="E824" i="46"/>
  <c r="C825" i="46"/>
  <c r="D825" i="46"/>
  <c r="E825" i="46"/>
  <c r="C826" i="46"/>
  <c r="D826" i="46"/>
  <c r="E826" i="46"/>
  <c r="C827" i="46"/>
  <c r="D827" i="46"/>
  <c r="E827" i="46"/>
  <c r="C828" i="46"/>
  <c r="D828" i="46"/>
  <c r="E828" i="46"/>
  <c r="C829" i="46"/>
  <c r="D829" i="46"/>
  <c r="E829" i="46"/>
  <c r="C830" i="46"/>
  <c r="D830" i="46"/>
  <c r="E830" i="46"/>
  <c r="C831" i="46"/>
  <c r="D831" i="46"/>
  <c r="E831" i="46"/>
  <c r="C832" i="46"/>
  <c r="D832" i="46"/>
  <c r="E832" i="46"/>
  <c r="C833" i="46"/>
  <c r="D833" i="46"/>
  <c r="E833" i="46"/>
  <c r="C834" i="46"/>
  <c r="D834" i="46"/>
  <c r="E834" i="46"/>
  <c r="C835" i="46"/>
  <c r="D835" i="46"/>
  <c r="E835" i="46"/>
  <c r="C836" i="46"/>
  <c r="D836" i="46"/>
  <c r="E836" i="46"/>
  <c r="C837" i="46"/>
  <c r="D837" i="46"/>
  <c r="E837" i="46"/>
  <c r="C838" i="46"/>
  <c r="D838" i="46"/>
  <c r="E838" i="46"/>
  <c r="C839" i="46"/>
  <c r="D839" i="46"/>
  <c r="E839" i="46"/>
  <c r="C840" i="46"/>
  <c r="D840" i="46"/>
  <c r="E840" i="46"/>
  <c r="C841" i="46"/>
  <c r="D841" i="46"/>
  <c r="E841" i="46"/>
  <c r="C842" i="46"/>
  <c r="D842" i="46"/>
  <c r="E842" i="46"/>
  <c r="C843" i="46"/>
  <c r="D843" i="46"/>
  <c r="E843" i="46"/>
  <c r="C844" i="46"/>
  <c r="D844" i="46"/>
  <c r="E844" i="46"/>
  <c r="C845" i="46"/>
  <c r="D845" i="46"/>
  <c r="E845" i="46"/>
  <c r="C846" i="46"/>
  <c r="D846" i="46"/>
  <c r="E846" i="46"/>
  <c r="C847" i="46"/>
  <c r="D847" i="46"/>
  <c r="E847" i="46"/>
  <c r="C848" i="46"/>
  <c r="D848" i="46"/>
  <c r="E848" i="46"/>
  <c r="C849" i="46"/>
  <c r="D849" i="46"/>
  <c r="E849" i="46"/>
  <c r="C850" i="46"/>
  <c r="D850" i="46"/>
  <c r="E850" i="46"/>
  <c r="C851" i="46"/>
  <c r="D851" i="46"/>
  <c r="E851" i="46"/>
  <c r="C852" i="46"/>
  <c r="D852" i="46"/>
  <c r="E852" i="46"/>
  <c r="C853" i="46"/>
  <c r="D853" i="46"/>
  <c r="E853" i="46"/>
  <c r="C854" i="46"/>
  <c r="D854" i="46"/>
  <c r="E854" i="46"/>
  <c r="C855" i="46"/>
  <c r="D855" i="46"/>
  <c r="E855" i="46"/>
  <c r="C856" i="46"/>
  <c r="D856" i="46"/>
  <c r="E856" i="46"/>
  <c r="C857" i="46"/>
  <c r="D857" i="46"/>
  <c r="E857" i="46"/>
  <c r="C858" i="46"/>
  <c r="D858" i="46"/>
  <c r="E858" i="46"/>
  <c r="C859" i="46"/>
  <c r="D859" i="46"/>
  <c r="E859" i="46"/>
  <c r="C860" i="46"/>
  <c r="D860" i="46"/>
  <c r="E860" i="46"/>
  <c r="C861" i="46"/>
  <c r="D861" i="46"/>
  <c r="E861" i="46"/>
  <c r="C862" i="46"/>
  <c r="D862" i="46"/>
  <c r="E862" i="46"/>
  <c r="C863" i="46"/>
  <c r="D863" i="46"/>
  <c r="E863" i="46"/>
  <c r="C864" i="46"/>
  <c r="D864" i="46"/>
  <c r="E864" i="46"/>
  <c r="C865" i="46"/>
  <c r="D865" i="46"/>
  <c r="E865" i="46"/>
  <c r="C866" i="46"/>
  <c r="D866" i="46"/>
  <c r="E866" i="46"/>
  <c r="C867" i="46"/>
  <c r="D867" i="46"/>
  <c r="E867" i="46"/>
  <c r="C868" i="46"/>
  <c r="D868" i="46"/>
  <c r="E868" i="46"/>
  <c r="C869" i="46"/>
  <c r="D869" i="46"/>
  <c r="E869" i="46"/>
  <c r="C870" i="46"/>
  <c r="D870" i="46"/>
  <c r="E870" i="46"/>
  <c r="C871" i="46"/>
  <c r="D871" i="46"/>
  <c r="E871" i="46"/>
  <c r="C872" i="46"/>
  <c r="D872" i="46"/>
  <c r="E872" i="46"/>
  <c r="C873" i="46"/>
  <c r="D873" i="46"/>
  <c r="E873" i="46"/>
  <c r="C874" i="46"/>
  <c r="D874" i="46"/>
  <c r="E874" i="46"/>
  <c r="C875" i="46"/>
  <c r="D875" i="46"/>
  <c r="E875" i="46"/>
  <c r="C876" i="46"/>
  <c r="D876" i="46"/>
  <c r="E876" i="46"/>
  <c r="C877" i="46"/>
  <c r="D877" i="46"/>
  <c r="E877" i="46"/>
  <c r="C878" i="46"/>
  <c r="D878" i="46"/>
  <c r="E878" i="46"/>
  <c r="C879" i="46"/>
  <c r="D879" i="46"/>
  <c r="E879" i="46"/>
  <c r="C880" i="46"/>
  <c r="D880" i="46"/>
  <c r="E880" i="46"/>
  <c r="C881" i="46"/>
  <c r="D881" i="46"/>
  <c r="E881" i="46"/>
  <c r="C882" i="46"/>
  <c r="D882" i="46"/>
  <c r="E882" i="46"/>
  <c r="C883" i="46"/>
  <c r="D883" i="46"/>
  <c r="E883" i="46"/>
  <c r="C884" i="46"/>
  <c r="D884" i="46"/>
  <c r="E884" i="46"/>
  <c r="C885" i="46"/>
  <c r="D885" i="46"/>
  <c r="E885" i="46"/>
  <c r="C886" i="46"/>
  <c r="D886" i="46"/>
  <c r="E886" i="46"/>
  <c r="C887" i="46"/>
  <c r="D887" i="46"/>
  <c r="E887" i="46"/>
  <c r="C888" i="46"/>
  <c r="D888" i="46"/>
  <c r="E888" i="46"/>
  <c r="C889" i="46"/>
  <c r="D889" i="46"/>
  <c r="E889" i="46"/>
  <c r="C890" i="46"/>
  <c r="D890" i="46"/>
  <c r="E890" i="46"/>
  <c r="C891" i="46"/>
  <c r="D891" i="46"/>
  <c r="E891" i="46"/>
  <c r="C892" i="46"/>
  <c r="D892" i="46"/>
  <c r="E892" i="46"/>
  <c r="C893" i="46"/>
  <c r="D893" i="46"/>
  <c r="E893" i="46"/>
  <c r="C894" i="46"/>
  <c r="D894" i="46"/>
  <c r="E894" i="46"/>
  <c r="C895" i="46"/>
  <c r="D895" i="46"/>
  <c r="E895" i="46"/>
  <c r="C896" i="46"/>
  <c r="D896" i="46"/>
  <c r="E896" i="46"/>
  <c r="C897" i="46"/>
  <c r="D897" i="46"/>
  <c r="E897" i="46"/>
  <c r="C898" i="46"/>
  <c r="D898" i="46"/>
  <c r="E898" i="46"/>
  <c r="C899" i="46"/>
  <c r="D899" i="46"/>
  <c r="E899" i="46"/>
  <c r="C900" i="46"/>
  <c r="D900" i="46"/>
  <c r="E900" i="46"/>
  <c r="C901" i="46"/>
  <c r="D901" i="46"/>
  <c r="E901" i="46"/>
  <c r="C902" i="46"/>
  <c r="D902" i="46"/>
  <c r="E902" i="46"/>
  <c r="C903" i="46"/>
  <c r="D903" i="46"/>
  <c r="E903" i="46"/>
  <c r="C904" i="46"/>
  <c r="D904" i="46"/>
  <c r="E904" i="46"/>
  <c r="C905" i="46"/>
  <c r="D905" i="46"/>
  <c r="E905" i="46"/>
  <c r="C906" i="46"/>
  <c r="D906" i="46"/>
  <c r="E906" i="46"/>
  <c r="C907" i="46"/>
  <c r="D907" i="46"/>
  <c r="E907" i="46"/>
  <c r="C908" i="46"/>
  <c r="D908" i="46"/>
  <c r="E908" i="46"/>
  <c r="C909" i="46"/>
  <c r="D909" i="46"/>
  <c r="E909" i="46"/>
  <c r="C910" i="46"/>
  <c r="D910" i="46"/>
  <c r="E910" i="46"/>
  <c r="C911" i="46"/>
  <c r="D911" i="46"/>
  <c r="E911" i="46"/>
  <c r="C912" i="46"/>
  <c r="D912" i="46"/>
  <c r="E912" i="46"/>
  <c r="C913" i="46"/>
  <c r="D913" i="46"/>
  <c r="E913" i="46"/>
  <c r="C914" i="46"/>
  <c r="D914" i="46"/>
  <c r="E914" i="46"/>
  <c r="C915" i="46"/>
  <c r="D915" i="46"/>
  <c r="E915" i="46"/>
  <c r="C916" i="46"/>
  <c r="D916" i="46"/>
  <c r="E916" i="46"/>
  <c r="C917" i="46"/>
  <c r="D917" i="46"/>
  <c r="E917" i="46"/>
  <c r="C918" i="46"/>
  <c r="D918" i="46"/>
  <c r="E918" i="46"/>
  <c r="C919" i="46"/>
  <c r="D919" i="46"/>
  <c r="E919" i="46"/>
  <c r="C920" i="46"/>
  <c r="D920" i="46"/>
  <c r="E920" i="46"/>
  <c r="C921" i="46"/>
  <c r="D921" i="46"/>
  <c r="E921" i="46"/>
  <c r="C922" i="46"/>
  <c r="D922" i="46"/>
  <c r="E922" i="46"/>
  <c r="C923" i="46"/>
  <c r="D923" i="46"/>
  <c r="E923" i="46"/>
  <c r="C924" i="46"/>
  <c r="D924" i="46"/>
  <c r="E924" i="46"/>
  <c r="C925" i="46"/>
  <c r="D925" i="46"/>
  <c r="E925" i="46"/>
  <c r="C926" i="46"/>
  <c r="D926" i="46"/>
  <c r="E926" i="46"/>
  <c r="C927" i="46"/>
  <c r="D927" i="46"/>
  <c r="E927" i="46"/>
  <c r="C928" i="46"/>
  <c r="D928" i="46"/>
  <c r="E928" i="46"/>
  <c r="C929" i="46"/>
  <c r="D929" i="46"/>
  <c r="E929" i="46"/>
  <c r="C930" i="46"/>
  <c r="D930" i="46"/>
  <c r="E930" i="46"/>
  <c r="C931" i="46"/>
  <c r="D931" i="46"/>
  <c r="E931" i="46"/>
  <c r="C932" i="46"/>
  <c r="D932" i="46"/>
  <c r="E932" i="46"/>
  <c r="C933" i="46"/>
  <c r="D933" i="46"/>
  <c r="E933" i="46"/>
  <c r="C934" i="46"/>
  <c r="D934" i="46"/>
  <c r="E934" i="46"/>
  <c r="C935" i="46"/>
  <c r="D935" i="46"/>
  <c r="E935" i="46"/>
  <c r="C936" i="46"/>
  <c r="D936" i="46"/>
  <c r="E936" i="46"/>
  <c r="C937" i="46"/>
  <c r="D937" i="46"/>
  <c r="E937" i="46"/>
  <c r="C938" i="46"/>
  <c r="D938" i="46"/>
  <c r="E938" i="46"/>
  <c r="C939" i="46"/>
  <c r="D939" i="46"/>
  <c r="E939" i="46"/>
  <c r="C940" i="46"/>
  <c r="D940" i="46"/>
  <c r="E940" i="46"/>
  <c r="C941" i="46"/>
  <c r="D941" i="46"/>
  <c r="E941" i="46"/>
  <c r="C942" i="46"/>
  <c r="D942" i="46"/>
  <c r="E942" i="46"/>
  <c r="C943" i="46"/>
  <c r="D943" i="46"/>
  <c r="E943" i="46"/>
  <c r="C944" i="46"/>
  <c r="D944" i="46"/>
  <c r="E944" i="46"/>
  <c r="C945" i="46"/>
  <c r="D945" i="46"/>
  <c r="E945" i="46"/>
  <c r="C946" i="46"/>
  <c r="D946" i="46"/>
  <c r="E946" i="46"/>
  <c r="C947" i="46"/>
  <c r="D947" i="46"/>
  <c r="E947" i="46"/>
  <c r="C948" i="46"/>
  <c r="D948" i="46"/>
  <c r="E948" i="46"/>
  <c r="C949" i="46"/>
  <c r="D949" i="46"/>
  <c r="E949" i="46"/>
  <c r="C950" i="46"/>
  <c r="D950" i="46"/>
  <c r="E950" i="46"/>
  <c r="C951" i="46"/>
  <c r="D951" i="46"/>
  <c r="E951" i="46"/>
  <c r="C952" i="46"/>
  <c r="D952" i="46"/>
  <c r="E952" i="46"/>
  <c r="C953" i="46"/>
  <c r="D953" i="46"/>
  <c r="E953" i="46"/>
  <c r="C954" i="46"/>
  <c r="D954" i="46"/>
  <c r="E954" i="46"/>
  <c r="C955" i="46"/>
  <c r="D955" i="46"/>
  <c r="E955" i="46"/>
  <c r="C956" i="46"/>
  <c r="D956" i="46"/>
  <c r="E956" i="46"/>
  <c r="C957" i="46"/>
  <c r="D957" i="46"/>
  <c r="E957" i="46"/>
  <c r="C958" i="46"/>
  <c r="D958" i="46"/>
  <c r="E958" i="46"/>
  <c r="C959" i="46"/>
  <c r="D959" i="46"/>
  <c r="E959" i="46"/>
  <c r="C960" i="46"/>
  <c r="D960" i="46"/>
  <c r="E960" i="46"/>
  <c r="C961" i="46"/>
  <c r="D961" i="46"/>
  <c r="E961" i="46"/>
  <c r="C962" i="46"/>
  <c r="D962" i="46"/>
  <c r="E962" i="46"/>
  <c r="C963" i="46"/>
  <c r="D963" i="46"/>
  <c r="E963" i="46"/>
  <c r="C964" i="46"/>
  <c r="D964" i="46"/>
  <c r="E964" i="46"/>
  <c r="C965" i="46"/>
  <c r="D965" i="46"/>
  <c r="E965" i="46"/>
  <c r="C966" i="46"/>
  <c r="D966" i="46"/>
  <c r="E966" i="46"/>
  <c r="C967" i="46"/>
  <c r="D967" i="46"/>
  <c r="E967" i="46"/>
  <c r="C968" i="46"/>
  <c r="D968" i="46"/>
  <c r="E968" i="46"/>
  <c r="C969" i="46"/>
  <c r="D969" i="46"/>
  <c r="E969" i="46"/>
  <c r="C970" i="46"/>
  <c r="D970" i="46"/>
  <c r="E970" i="46"/>
  <c r="C971" i="46"/>
  <c r="D971" i="46"/>
  <c r="E971" i="46"/>
  <c r="C972" i="46"/>
  <c r="D972" i="46"/>
  <c r="E972" i="46"/>
  <c r="C973" i="46"/>
  <c r="D973" i="46"/>
  <c r="E973" i="46"/>
  <c r="C974" i="46"/>
  <c r="D974" i="46"/>
  <c r="E974" i="46"/>
  <c r="C975" i="46"/>
  <c r="D975" i="46"/>
  <c r="E975" i="46"/>
  <c r="C976" i="46"/>
  <c r="D976" i="46"/>
  <c r="E976" i="46"/>
  <c r="C977" i="46"/>
  <c r="D977" i="46"/>
  <c r="E977" i="46"/>
  <c r="C978" i="46"/>
  <c r="D978" i="46"/>
  <c r="E978" i="46"/>
  <c r="C979" i="46"/>
  <c r="D979" i="46"/>
  <c r="E979" i="46"/>
  <c r="C980" i="46"/>
  <c r="D980" i="46"/>
  <c r="E980" i="46"/>
  <c r="C981" i="46"/>
  <c r="D981" i="46"/>
  <c r="E981" i="46"/>
  <c r="C982" i="46"/>
  <c r="D982" i="46"/>
  <c r="E982" i="46"/>
  <c r="C983" i="46"/>
  <c r="D983" i="46"/>
  <c r="E983" i="46"/>
  <c r="C984" i="46"/>
  <c r="D984" i="46"/>
  <c r="E984" i="46"/>
  <c r="C985" i="46"/>
  <c r="D985" i="46"/>
  <c r="E985" i="46"/>
  <c r="C986" i="46"/>
  <c r="D986" i="46"/>
  <c r="E986" i="46"/>
  <c r="C987" i="46"/>
  <c r="D987" i="46"/>
  <c r="E987" i="46"/>
  <c r="C988" i="46"/>
  <c r="D988" i="46"/>
  <c r="E988" i="46"/>
  <c r="C989" i="46"/>
  <c r="D989" i="46"/>
  <c r="E989" i="46"/>
  <c r="C990" i="46"/>
  <c r="D990" i="46"/>
  <c r="E990" i="46"/>
  <c r="C991" i="46"/>
  <c r="D991" i="46"/>
  <c r="E991" i="46"/>
  <c r="C992" i="46"/>
  <c r="D992" i="46"/>
  <c r="E992" i="46"/>
  <c r="C993" i="46"/>
  <c r="D993" i="46"/>
  <c r="E993" i="46"/>
  <c r="C994" i="46"/>
  <c r="D994" i="46"/>
  <c r="E994" i="46"/>
  <c r="C995" i="46"/>
  <c r="D995" i="46"/>
  <c r="E995" i="46"/>
  <c r="C996" i="46"/>
  <c r="D996" i="46"/>
  <c r="E996" i="46"/>
  <c r="C997" i="46"/>
  <c r="D997" i="46"/>
  <c r="E997" i="46"/>
  <c r="C998" i="46"/>
  <c r="D998" i="46"/>
  <c r="E998" i="46"/>
  <c r="C999" i="46"/>
  <c r="D999" i="46"/>
  <c r="E999" i="46"/>
  <c r="C1000" i="46"/>
  <c r="D1000" i="46"/>
  <c r="E1000" i="46"/>
  <c r="C1001" i="46"/>
  <c r="D1001" i="46"/>
  <c r="E1001" i="46"/>
  <c r="C1002" i="46"/>
  <c r="D1002" i="46"/>
  <c r="E1002" i="46"/>
  <c r="C1003" i="46"/>
  <c r="D1003" i="46"/>
  <c r="E1003" i="46"/>
  <c r="C1004" i="46"/>
  <c r="D1004" i="46"/>
  <c r="E1004" i="46"/>
  <c r="C1005" i="46"/>
  <c r="D1005" i="46"/>
  <c r="E1005" i="46"/>
  <c r="C1006" i="46"/>
  <c r="D1006" i="46"/>
  <c r="E1006" i="46"/>
  <c r="C1007" i="46"/>
  <c r="D1007" i="46"/>
  <c r="E1007" i="46"/>
  <c r="C1008" i="46"/>
  <c r="D1008" i="46"/>
  <c r="E1008" i="46"/>
  <c r="C1009" i="46"/>
  <c r="D1009" i="46"/>
  <c r="E1009" i="46"/>
  <c r="C1010" i="46"/>
  <c r="D1010" i="46"/>
  <c r="E1010" i="46"/>
  <c r="C1011" i="46"/>
  <c r="D1011" i="46"/>
  <c r="E1011" i="46"/>
  <c r="C1012" i="46"/>
  <c r="D1012" i="46"/>
  <c r="E1012" i="46"/>
  <c r="C1013" i="46"/>
  <c r="D1013" i="46"/>
  <c r="E1013" i="46"/>
  <c r="C1014" i="46"/>
  <c r="D1014" i="46"/>
  <c r="E1014" i="46"/>
  <c r="C1015" i="46"/>
  <c r="D1015" i="46"/>
  <c r="E1015" i="46"/>
  <c r="C1016" i="46"/>
  <c r="D1016" i="46"/>
  <c r="E1016" i="46"/>
  <c r="C1017" i="46"/>
  <c r="D1017" i="46"/>
  <c r="E1017" i="46"/>
  <c r="C1018" i="46"/>
  <c r="D1018" i="46"/>
  <c r="E1018" i="46"/>
  <c r="C1019" i="46"/>
  <c r="D1019" i="46"/>
  <c r="E1019" i="46"/>
  <c r="C1020" i="46"/>
  <c r="D1020" i="46"/>
  <c r="E1020" i="46"/>
  <c r="C1021" i="46"/>
  <c r="D1021" i="46"/>
  <c r="E1021" i="46"/>
  <c r="C1022" i="46"/>
  <c r="D1022" i="46"/>
  <c r="E1022" i="46"/>
  <c r="C1023" i="46"/>
  <c r="D1023" i="46"/>
  <c r="E1023" i="46"/>
  <c r="C1024" i="46"/>
  <c r="D1024" i="46"/>
  <c r="E1024" i="46"/>
  <c r="C1025" i="46"/>
  <c r="D1025" i="46"/>
  <c r="E1025" i="46"/>
  <c r="C1026" i="46"/>
  <c r="D1026" i="46"/>
  <c r="E1026" i="46"/>
  <c r="C1027" i="46"/>
  <c r="D1027" i="46"/>
  <c r="E1027" i="46"/>
  <c r="C1028" i="46"/>
  <c r="D1028" i="46"/>
  <c r="E1028" i="46"/>
  <c r="C1029" i="46"/>
  <c r="D1029" i="46"/>
  <c r="E1029" i="46"/>
  <c r="C1030" i="46"/>
  <c r="D1030" i="46"/>
  <c r="E1030" i="46"/>
  <c r="C1031" i="46"/>
  <c r="D1031" i="46"/>
  <c r="E1031" i="46"/>
  <c r="C1032" i="46"/>
  <c r="D1032" i="46"/>
  <c r="E1032" i="46"/>
  <c r="C1033" i="46"/>
  <c r="D1033" i="46"/>
  <c r="E1033" i="46"/>
  <c r="C1034" i="46"/>
  <c r="D1034" i="46"/>
  <c r="E1034" i="46"/>
  <c r="C1035" i="46"/>
  <c r="D1035" i="46"/>
  <c r="E1035" i="46"/>
  <c r="C1036" i="46"/>
  <c r="D1036" i="46"/>
  <c r="E1036" i="46"/>
  <c r="C1037" i="46"/>
  <c r="D1037" i="46"/>
  <c r="E1037" i="46"/>
  <c r="C1038" i="46"/>
  <c r="D1038" i="46"/>
  <c r="E1038" i="46"/>
  <c r="C1039" i="46"/>
  <c r="D1039" i="46"/>
  <c r="E1039" i="46"/>
  <c r="C1040" i="46"/>
  <c r="D1040" i="46"/>
  <c r="E1040" i="46"/>
  <c r="C1041" i="46"/>
  <c r="D1041" i="46"/>
  <c r="E1041" i="46"/>
  <c r="C1042" i="46"/>
  <c r="D1042" i="46"/>
  <c r="E1042" i="46"/>
  <c r="C1043" i="46"/>
  <c r="D1043" i="46"/>
  <c r="E1043" i="46"/>
  <c r="C1044" i="46"/>
  <c r="D1044" i="46"/>
  <c r="E1044" i="46"/>
  <c r="C1045" i="46"/>
  <c r="D1045" i="46"/>
  <c r="E1045" i="46"/>
  <c r="C1046" i="46"/>
  <c r="D1046" i="46"/>
  <c r="E1046" i="46"/>
  <c r="C1047" i="46"/>
  <c r="D1047" i="46"/>
  <c r="E1047" i="46"/>
  <c r="C1048" i="46"/>
  <c r="D1048" i="46"/>
  <c r="E1048" i="46"/>
  <c r="C1049" i="46"/>
  <c r="D1049" i="46"/>
  <c r="E1049" i="46"/>
  <c r="C1050" i="46"/>
  <c r="D1050" i="46"/>
  <c r="E1050" i="46"/>
  <c r="C1051" i="46"/>
  <c r="D1051" i="46"/>
  <c r="E1051" i="46"/>
  <c r="C1052" i="46"/>
  <c r="D1052" i="46"/>
  <c r="E1052" i="46"/>
  <c r="C1053" i="46"/>
  <c r="D1053" i="46"/>
  <c r="E1053" i="46"/>
  <c r="C1054" i="46"/>
  <c r="D1054" i="46"/>
  <c r="E1054" i="46"/>
  <c r="C1055" i="46"/>
  <c r="D1055" i="46"/>
  <c r="E1055" i="46"/>
  <c r="C1056" i="46"/>
  <c r="D1056" i="46"/>
  <c r="E1056" i="46"/>
  <c r="C1057" i="46"/>
  <c r="D1057" i="46"/>
  <c r="E1057" i="46"/>
  <c r="C1058" i="46"/>
  <c r="D1058" i="46"/>
  <c r="E1058" i="46"/>
  <c r="C1059" i="46"/>
  <c r="D1059" i="46"/>
  <c r="E1059" i="46"/>
  <c r="C1060" i="46"/>
  <c r="D1060" i="46"/>
  <c r="E1060" i="46"/>
  <c r="C1061" i="46"/>
  <c r="D1061" i="46"/>
  <c r="E1061" i="46"/>
  <c r="C1062" i="46"/>
  <c r="D1062" i="46"/>
  <c r="E1062" i="46"/>
  <c r="C1063" i="46"/>
  <c r="D1063" i="46"/>
  <c r="E1063" i="46"/>
  <c r="C1064" i="46"/>
  <c r="D1064" i="46"/>
  <c r="E1064" i="46"/>
  <c r="C1065" i="46"/>
  <c r="D1065" i="46"/>
  <c r="E1065" i="46"/>
  <c r="C1066" i="46"/>
  <c r="D1066" i="46"/>
  <c r="E1066" i="46"/>
  <c r="C1067" i="46"/>
  <c r="D1067" i="46"/>
  <c r="E1067" i="46"/>
  <c r="C1068" i="46"/>
  <c r="D1068" i="46"/>
  <c r="E1068" i="46"/>
  <c r="C1069" i="46"/>
  <c r="D1069" i="46"/>
  <c r="E1069" i="46"/>
  <c r="C1070" i="46"/>
  <c r="D1070" i="46"/>
  <c r="E1070" i="46"/>
  <c r="C1071" i="46"/>
  <c r="D1071" i="46"/>
  <c r="E1071" i="46"/>
  <c r="C1072" i="46"/>
  <c r="D1072" i="46"/>
  <c r="E1072" i="46"/>
  <c r="C1073" i="46"/>
  <c r="D1073" i="46"/>
  <c r="E1073" i="46"/>
  <c r="C1074" i="46"/>
  <c r="D1074" i="46"/>
  <c r="E1074" i="46"/>
  <c r="C1075" i="46"/>
  <c r="D1075" i="46"/>
  <c r="E1075" i="46"/>
  <c r="C1076" i="46"/>
  <c r="D1076" i="46"/>
  <c r="E1076" i="46"/>
  <c r="C1077" i="46"/>
  <c r="D1077" i="46"/>
  <c r="E1077" i="46"/>
  <c r="C1078" i="46"/>
  <c r="D1078" i="46"/>
  <c r="E1078" i="46"/>
  <c r="C1079" i="46"/>
  <c r="D1079" i="46"/>
  <c r="E1079" i="46"/>
  <c r="C1080" i="46"/>
  <c r="D1080" i="46"/>
  <c r="E1080" i="46"/>
  <c r="C1081" i="46"/>
  <c r="D1081" i="46"/>
  <c r="E1081" i="46"/>
  <c r="C1082" i="46"/>
  <c r="D1082" i="46"/>
  <c r="E1082" i="46"/>
  <c r="C1083" i="46"/>
  <c r="D1083" i="46"/>
  <c r="E1083" i="46"/>
  <c r="C1084" i="46"/>
  <c r="D1084" i="46"/>
  <c r="E1084" i="46"/>
  <c r="C1085" i="46"/>
  <c r="D1085" i="46"/>
  <c r="E1085" i="46"/>
  <c r="C1086" i="46"/>
  <c r="D1086" i="46"/>
  <c r="E1086" i="46"/>
  <c r="C1087" i="46"/>
  <c r="D1087" i="46"/>
  <c r="E1087" i="46"/>
  <c r="C1088" i="46"/>
  <c r="D1088" i="46"/>
  <c r="E1088" i="46"/>
  <c r="C1089" i="46"/>
  <c r="D1089" i="46"/>
  <c r="E1089" i="46"/>
  <c r="C1090" i="46"/>
  <c r="D1090" i="46"/>
  <c r="E1090" i="46"/>
  <c r="C1091" i="46"/>
  <c r="D1091" i="46"/>
  <c r="E1091" i="46"/>
  <c r="C1092" i="46"/>
  <c r="D1092" i="46"/>
  <c r="E1092" i="46"/>
  <c r="C1093" i="46"/>
  <c r="D1093" i="46"/>
  <c r="E1093" i="46"/>
  <c r="C1094" i="46"/>
  <c r="D1094" i="46"/>
  <c r="E1094" i="46"/>
  <c r="C1095" i="46"/>
  <c r="D1095" i="46"/>
  <c r="E1095" i="46"/>
  <c r="C1096" i="46"/>
  <c r="D1096" i="46"/>
  <c r="E1096" i="46"/>
  <c r="C1097" i="46"/>
  <c r="D1097" i="46"/>
  <c r="E1097" i="46"/>
  <c r="C1098" i="46"/>
  <c r="D1098" i="46"/>
  <c r="E1098" i="46"/>
  <c r="C1099" i="46"/>
  <c r="D1099" i="46"/>
  <c r="E1099" i="46"/>
  <c r="C1100" i="46"/>
  <c r="D1100" i="46"/>
  <c r="E1100" i="46"/>
  <c r="C1101" i="46"/>
  <c r="D1101" i="46"/>
  <c r="E1101" i="46"/>
  <c r="C1102" i="46"/>
  <c r="D1102" i="46"/>
  <c r="E1102" i="46"/>
  <c r="C1103" i="46"/>
  <c r="D1103" i="46"/>
  <c r="E1103" i="46"/>
  <c r="C1104" i="46"/>
  <c r="D1104" i="46"/>
  <c r="E1104" i="46"/>
  <c r="C1105" i="46"/>
  <c r="D1105" i="46"/>
  <c r="E1105" i="46"/>
  <c r="C1106" i="46"/>
  <c r="D1106" i="46"/>
  <c r="E1106" i="46"/>
  <c r="C1107" i="46"/>
  <c r="D1107" i="46"/>
  <c r="E1107" i="46"/>
  <c r="C1108" i="46"/>
  <c r="D1108" i="46"/>
  <c r="E1108" i="46"/>
  <c r="C1109" i="46"/>
  <c r="D1109" i="46"/>
  <c r="E1109" i="46"/>
  <c r="C1110" i="46"/>
  <c r="D1110" i="46"/>
  <c r="E1110" i="46"/>
  <c r="C1111" i="46"/>
  <c r="D1111" i="46"/>
  <c r="E1111" i="46"/>
  <c r="C1112" i="46"/>
  <c r="D1112" i="46"/>
  <c r="E1112" i="46"/>
  <c r="C1113" i="46"/>
  <c r="D1113" i="46"/>
  <c r="E1113" i="46"/>
  <c r="C1114" i="46"/>
  <c r="D1114" i="46"/>
  <c r="E1114" i="46"/>
  <c r="C1115" i="46"/>
  <c r="D1115" i="46"/>
  <c r="E1115" i="46"/>
  <c r="C1116" i="46"/>
  <c r="D1116" i="46"/>
  <c r="E1116" i="46"/>
  <c r="C1117" i="46"/>
  <c r="D1117" i="46"/>
  <c r="E1117" i="46"/>
  <c r="C1118" i="46"/>
  <c r="D1118" i="46"/>
  <c r="E1118" i="46"/>
  <c r="C1119" i="46"/>
  <c r="D1119" i="46"/>
  <c r="E1119" i="46"/>
  <c r="C1120" i="46"/>
  <c r="D1120" i="46"/>
  <c r="E1120" i="46"/>
  <c r="C1121" i="46"/>
  <c r="D1121" i="46"/>
  <c r="E1121" i="46"/>
  <c r="C1122" i="46"/>
  <c r="D1122" i="46"/>
  <c r="E1122" i="46"/>
  <c r="C1123" i="46"/>
  <c r="D1123" i="46"/>
  <c r="E1123" i="46"/>
  <c r="C1124" i="46"/>
  <c r="D1124" i="46"/>
  <c r="E1124" i="46"/>
  <c r="C1125" i="46"/>
  <c r="D1125" i="46"/>
  <c r="E1125" i="46"/>
  <c r="C1126" i="46"/>
  <c r="D1126" i="46"/>
  <c r="E1126" i="46"/>
  <c r="C1127" i="46"/>
  <c r="D1127" i="46"/>
  <c r="E1127" i="46"/>
  <c r="C1128" i="46"/>
  <c r="D1128" i="46"/>
  <c r="E1128" i="46"/>
  <c r="C1129" i="46"/>
  <c r="D1129" i="46"/>
  <c r="E1129" i="46"/>
  <c r="C1130" i="46"/>
  <c r="D1130" i="46"/>
  <c r="E1130" i="46"/>
  <c r="C1131" i="46"/>
  <c r="D1131" i="46"/>
  <c r="E1131" i="46"/>
  <c r="C1132" i="46"/>
  <c r="D1132" i="46"/>
  <c r="E1132" i="46"/>
  <c r="C1133" i="46"/>
  <c r="D1133" i="46"/>
  <c r="E1133" i="46"/>
  <c r="C1134" i="46"/>
  <c r="D1134" i="46"/>
  <c r="E1134" i="46"/>
  <c r="C1135" i="46"/>
  <c r="D1135" i="46"/>
  <c r="E1135" i="46"/>
  <c r="C1136" i="46"/>
  <c r="D1136" i="46"/>
  <c r="E1136" i="46"/>
  <c r="C1137" i="46"/>
  <c r="D1137" i="46"/>
  <c r="E1137" i="46"/>
  <c r="C1138" i="46"/>
  <c r="D1138" i="46"/>
  <c r="E1138" i="46"/>
  <c r="C1139" i="46"/>
  <c r="D1139" i="46"/>
  <c r="E1139" i="46"/>
  <c r="C1140" i="46"/>
  <c r="D1140" i="46"/>
  <c r="E1140" i="46"/>
  <c r="C1141" i="46"/>
  <c r="D1141" i="46"/>
  <c r="E1141" i="46"/>
  <c r="C1142" i="46"/>
  <c r="D1142" i="46"/>
  <c r="E1142" i="46"/>
  <c r="C1143" i="46"/>
  <c r="D1143" i="46"/>
  <c r="E1143" i="46"/>
  <c r="C1144" i="46"/>
  <c r="D1144" i="46"/>
  <c r="E1144" i="46"/>
  <c r="C1145" i="46"/>
  <c r="D1145" i="46"/>
  <c r="E1145" i="46"/>
  <c r="C1146" i="46"/>
  <c r="D1146" i="46"/>
  <c r="E1146" i="46"/>
  <c r="C1147" i="46"/>
  <c r="D1147" i="46"/>
  <c r="E1147" i="46"/>
  <c r="C1148" i="46"/>
  <c r="D1148" i="46"/>
  <c r="E1148" i="46"/>
  <c r="C1149" i="46"/>
  <c r="D1149" i="46"/>
  <c r="E1149" i="46"/>
  <c r="C1150" i="46"/>
  <c r="D1150" i="46"/>
  <c r="E1150" i="46"/>
  <c r="C1151" i="46"/>
  <c r="D1151" i="46"/>
  <c r="E1151" i="46"/>
  <c r="C1152" i="46"/>
  <c r="D1152" i="46"/>
  <c r="E1152" i="46"/>
  <c r="C1153" i="46"/>
  <c r="D1153" i="46"/>
  <c r="E1153" i="46"/>
  <c r="C1154" i="46"/>
  <c r="D1154" i="46"/>
  <c r="E1154" i="46"/>
  <c r="C1155" i="46"/>
  <c r="D1155" i="46"/>
  <c r="E1155" i="46"/>
  <c r="C1156" i="46"/>
  <c r="D1156" i="46"/>
  <c r="E1156" i="46"/>
  <c r="C1157" i="46"/>
  <c r="D1157" i="46"/>
  <c r="E1157" i="46"/>
  <c r="C1158" i="46"/>
  <c r="D1158" i="46"/>
  <c r="E1158" i="46"/>
  <c r="C1159" i="46"/>
  <c r="D1159" i="46"/>
  <c r="E1159" i="46"/>
  <c r="C1160" i="46"/>
  <c r="D1160" i="46"/>
  <c r="E1160" i="46"/>
  <c r="C1161" i="46"/>
  <c r="D1161" i="46"/>
  <c r="E1161" i="46"/>
  <c r="C1162" i="46"/>
  <c r="D1162" i="46"/>
  <c r="E1162" i="46"/>
  <c r="C1163" i="46"/>
  <c r="D1163" i="46"/>
  <c r="E1163" i="46"/>
  <c r="C1164" i="46"/>
  <c r="D1164" i="46"/>
  <c r="E1164" i="46"/>
  <c r="C1165" i="46"/>
  <c r="D1165" i="46"/>
  <c r="E1165" i="46"/>
  <c r="C1166" i="46"/>
  <c r="D1166" i="46"/>
  <c r="E1166" i="46"/>
  <c r="C1167" i="46"/>
  <c r="D1167" i="46"/>
  <c r="E1167" i="46"/>
  <c r="C1168" i="46"/>
  <c r="D1168" i="46"/>
  <c r="E1168" i="46"/>
  <c r="C1169" i="46"/>
  <c r="D1169" i="46"/>
  <c r="E1169" i="46"/>
  <c r="C1170" i="46"/>
  <c r="D1170" i="46"/>
  <c r="E1170" i="46"/>
  <c r="C1171" i="46"/>
  <c r="D1171" i="46"/>
  <c r="E1171" i="46"/>
  <c r="C1172" i="46"/>
  <c r="D1172" i="46"/>
  <c r="E1172" i="46"/>
  <c r="C1173" i="46"/>
  <c r="D1173" i="46"/>
  <c r="E1173" i="46"/>
  <c r="C1174" i="46"/>
  <c r="D1174" i="46"/>
  <c r="E1174" i="46"/>
  <c r="C1175" i="46"/>
  <c r="D1175" i="46"/>
  <c r="E1175" i="46"/>
  <c r="C1176" i="46"/>
  <c r="D1176" i="46"/>
  <c r="E1176" i="46"/>
  <c r="C1177" i="46"/>
  <c r="D1177" i="46"/>
  <c r="E1177" i="46"/>
  <c r="C1178" i="46"/>
  <c r="D1178" i="46"/>
  <c r="E1178" i="46"/>
  <c r="C1179" i="46"/>
  <c r="D1179" i="46"/>
  <c r="E1179" i="46"/>
  <c r="C1180" i="46"/>
  <c r="D1180" i="46"/>
  <c r="E1180" i="46"/>
  <c r="C1181" i="46"/>
  <c r="D1181" i="46"/>
  <c r="E1181" i="46"/>
  <c r="C1182" i="46"/>
  <c r="D1182" i="46"/>
  <c r="E1182" i="46"/>
  <c r="C1183" i="46"/>
  <c r="D1183" i="46"/>
  <c r="E1183" i="46"/>
  <c r="C1184" i="46"/>
  <c r="D1184" i="46"/>
  <c r="E1184" i="46"/>
  <c r="C1185" i="46"/>
  <c r="D1185" i="46"/>
  <c r="E1185" i="46"/>
  <c r="C1186" i="46"/>
  <c r="D1186" i="46"/>
  <c r="E1186" i="46"/>
  <c r="C1187" i="46"/>
  <c r="D1187" i="46"/>
  <c r="E1187" i="46"/>
  <c r="C1188" i="46"/>
  <c r="D1188" i="46"/>
  <c r="E1188" i="46"/>
  <c r="C1189" i="46"/>
  <c r="D1189" i="46"/>
  <c r="E1189" i="46"/>
  <c r="C1190" i="46"/>
  <c r="D1190" i="46"/>
  <c r="E1190" i="46"/>
  <c r="C1191" i="46"/>
  <c r="D1191" i="46"/>
  <c r="E1191" i="46"/>
  <c r="C1192" i="46"/>
  <c r="D1192" i="46"/>
  <c r="E1192" i="46"/>
  <c r="C1193" i="46"/>
  <c r="D1193" i="46"/>
  <c r="E1193" i="46"/>
  <c r="C1194" i="46"/>
  <c r="D1194" i="46"/>
  <c r="E1194" i="46"/>
  <c r="C1195" i="46"/>
  <c r="D1195" i="46"/>
  <c r="E1195" i="46"/>
  <c r="C1196" i="46"/>
  <c r="D1196" i="46"/>
  <c r="E1196" i="46"/>
  <c r="C1197" i="46"/>
  <c r="D1197" i="46"/>
  <c r="E1197" i="46"/>
  <c r="C1198" i="46"/>
  <c r="D1198" i="46"/>
  <c r="E1198" i="46"/>
  <c r="C1199" i="46"/>
  <c r="D1199" i="46"/>
  <c r="E1199" i="46"/>
  <c r="C1200" i="46"/>
  <c r="D1200" i="46"/>
  <c r="E1200" i="46"/>
  <c r="C1201" i="46"/>
  <c r="D1201" i="46"/>
  <c r="E1201" i="46"/>
  <c r="C1202" i="46"/>
  <c r="D1202" i="46"/>
  <c r="E1202" i="46"/>
  <c r="C1203" i="46"/>
  <c r="D1203" i="46"/>
  <c r="E1203" i="46"/>
  <c r="C1204" i="46"/>
  <c r="D1204" i="46"/>
  <c r="E1204" i="46"/>
  <c r="C1205" i="46"/>
  <c r="D1205" i="46"/>
  <c r="E1205" i="46"/>
  <c r="C1206" i="46"/>
  <c r="D1206" i="46"/>
  <c r="E1206" i="46"/>
  <c r="C1207" i="46"/>
  <c r="D1207" i="46"/>
  <c r="E1207" i="46"/>
  <c r="C1208" i="46"/>
  <c r="D1208" i="46"/>
  <c r="E1208" i="46"/>
  <c r="C1209" i="46"/>
  <c r="D1209" i="46"/>
  <c r="E1209" i="46"/>
  <c r="C1210" i="46"/>
  <c r="D1210" i="46"/>
  <c r="E1210" i="46"/>
  <c r="C1211" i="46"/>
  <c r="D1211" i="46"/>
  <c r="E1211" i="46"/>
  <c r="C1212" i="46"/>
  <c r="D1212" i="46"/>
  <c r="E1212" i="46"/>
  <c r="C1213" i="46"/>
  <c r="D1213" i="46"/>
  <c r="E1213" i="46"/>
  <c r="C1214" i="46"/>
  <c r="D1214" i="46"/>
  <c r="E1214" i="46"/>
  <c r="C1215" i="46"/>
  <c r="D1215" i="46"/>
  <c r="E1215" i="46"/>
  <c r="C1216" i="46"/>
  <c r="D1216" i="46"/>
  <c r="E1216" i="46"/>
  <c r="C1217" i="46"/>
  <c r="D1217" i="46"/>
  <c r="E1217" i="46"/>
  <c r="C1218" i="46"/>
  <c r="D1218" i="46"/>
  <c r="E1218" i="46"/>
  <c r="C1219" i="46"/>
  <c r="D1219" i="46"/>
  <c r="E1219" i="46"/>
  <c r="C1220" i="46"/>
  <c r="D1220" i="46"/>
  <c r="E1220" i="46"/>
  <c r="C1221" i="46"/>
  <c r="D1221" i="46"/>
  <c r="E1221" i="46"/>
  <c r="C1222" i="46"/>
  <c r="D1222" i="46"/>
  <c r="E1222" i="46"/>
  <c r="C1223" i="46"/>
  <c r="D1223" i="46"/>
  <c r="E1223" i="46"/>
  <c r="C1224" i="46"/>
  <c r="D1224" i="46"/>
  <c r="E1224" i="46"/>
  <c r="C1225" i="46"/>
  <c r="D1225" i="46"/>
  <c r="E1225" i="46"/>
  <c r="C1226" i="46"/>
  <c r="D1226" i="46"/>
  <c r="E1226" i="46"/>
  <c r="C1227" i="46"/>
  <c r="D1227" i="46"/>
  <c r="E1227" i="46"/>
  <c r="C1228" i="46"/>
  <c r="D1228" i="46"/>
  <c r="E1228" i="46"/>
  <c r="C1229" i="46"/>
  <c r="D1229" i="46"/>
  <c r="E1229" i="46"/>
  <c r="C1230" i="46"/>
  <c r="D1230" i="46"/>
  <c r="E1230" i="46"/>
  <c r="C1231" i="46"/>
  <c r="D1231" i="46"/>
  <c r="E1231" i="46"/>
  <c r="C1232" i="46"/>
  <c r="D1232" i="46"/>
  <c r="E1232" i="46"/>
  <c r="C1233" i="46"/>
  <c r="D1233" i="46"/>
  <c r="E1233" i="46"/>
  <c r="C1234" i="46"/>
  <c r="D1234" i="46"/>
  <c r="E1234" i="46"/>
  <c r="C1235" i="46"/>
  <c r="D1235" i="46"/>
  <c r="E1235" i="46"/>
  <c r="C1236" i="46"/>
  <c r="D1236" i="46"/>
  <c r="E1236" i="46"/>
  <c r="C1237" i="46"/>
  <c r="D1237" i="46"/>
  <c r="E1237" i="46"/>
  <c r="C1238" i="46"/>
  <c r="D1238" i="46"/>
  <c r="E1238" i="46"/>
  <c r="C1239" i="46"/>
  <c r="D1239" i="46"/>
  <c r="E1239" i="46"/>
  <c r="C1240" i="46"/>
  <c r="D1240" i="46"/>
  <c r="E1240" i="46"/>
  <c r="C1241" i="46"/>
  <c r="D1241" i="46"/>
  <c r="E1241" i="46"/>
  <c r="C1242" i="46"/>
  <c r="D1242" i="46"/>
  <c r="E1242" i="46"/>
  <c r="C1243" i="46"/>
  <c r="D1243" i="46"/>
  <c r="E1243" i="46"/>
  <c r="C1244" i="46"/>
  <c r="D1244" i="46"/>
  <c r="E1244" i="46"/>
  <c r="C1245" i="46"/>
  <c r="D1245" i="46"/>
  <c r="E1245" i="46"/>
  <c r="C1246" i="46"/>
  <c r="D1246" i="46"/>
  <c r="E1246" i="46"/>
  <c r="C1247" i="46"/>
  <c r="D1247" i="46"/>
  <c r="E1247" i="46"/>
  <c r="C1248" i="46"/>
  <c r="D1248" i="46"/>
  <c r="E1248" i="46"/>
  <c r="C1249" i="46"/>
  <c r="D1249" i="46"/>
  <c r="E1249" i="46"/>
  <c r="C1250" i="46"/>
  <c r="D1250" i="46"/>
  <c r="E1250" i="46"/>
  <c r="C1251" i="46"/>
  <c r="D1251" i="46"/>
  <c r="E1251" i="46"/>
  <c r="C1252" i="46"/>
  <c r="D1252" i="46"/>
  <c r="E1252" i="46"/>
  <c r="C1253" i="46"/>
  <c r="D1253" i="46"/>
  <c r="E1253" i="46"/>
  <c r="C1254" i="46"/>
  <c r="D1254" i="46"/>
  <c r="E1254" i="46"/>
  <c r="C1255" i="46"/>
  <c r="D1255" i="46"/>
  <c r="E1255" i="46"/>
  <c r="C1256" i="46"/>
  <c r="D1256" i="46"/>
  <c r="E1256" i="46"/>
  <c r="C1257" i="46"/>
  <c r="D1257" i="46"/>
  <c r="E1257" i="46"/>
  <c r="C1258" i="46"/>
  <c r="D1258" i="46"/>
  <c r="E1258" i="46"/>
  <c r="C1259" i="46"/>
  <c r="D1259" i="46"/>
  <c r="E1259" i="46"/>
  <c r="C1260" i="46"/>
  <c r="D1260" i="46"/>
  <c r="E1260" i="46"/>
  <c r="C1261" i="46"/>
  <c r="D1261" i="46"/>
  <c r="E1261" i="46"/>
  <c r="C1262" i="46"/>
  <c r="D1262" i="46"/>
  <c r="E1262" i="46"/>
  <c r="C1263" i="46"/>
  <c r="D1263" i="46"/>
  <c r="E1263" i="46"/>
  <c r="C1264" i="46"/>
  <c r="D1264" i="46"/>
  <c r="E1264" i="46"/>
  <c r="C1265" i="46"/>
  <c r="D1265" i="46"/>
  <c r="E1265" i="46"/>
  <c r="C1266" i="46"/>
  <c r="D1266" i="46"/>
  <c r="E1266" i="46"/>
  <c r="C1267" i="46"/>
  <c r="D1267" i="46"/>
  <c r="E1267" i="46"/>
  <c r="C1268" i="46"/>
  <c r="D1268" i="46"/>
  <c r="E1268" i="46"/>
  <c r="C1269" i="46"/>
  <c r="D1269" i="46"/>
  <c r="E1269" i="46"/>
  <c r="C1270" i="46"/>
  <c r="D1270" i="46"/>
  <c r="E1270" i="46"/>
  <c r="C1271" i="46"/>
  <c r="D1271" i="46"/>
  <c r="E1271" i="46"/>
  <c r="C1272" i="46"/>
  <c r="D1272" i="46"/>
  <c r="E1272" i="46"/>
  <c r="C1273" i="46"/>
  <c r="D1273" i="46"/>
  <c r="E1273" i="46"/>
  <c r="C1274" i="46"/>
  <c r="D1274" i="46"/>
  <c r="E1274" i="46"/>
  <c r="C1275" i="46"/>
  <c r="D1275" i="46"/>
  <c r="E1275" i="46"/>
  <c r="C1276" i="46"/>
  <c r="D1276" i="46"/>
  <c r="E1276" i="46"/>
  <c r="C1277" i="46"/>
  <c r="D1277" i="46"/>
  <c r="E1277" i="46"/>
  <c r="C1278" i="46"/>
  <c r="D1278" i="46"/>
  <c r="E1278" i="46"/>
  <c r="C1279" i="46"/>
  <c r="D1279" i="46"/>
  <c r="E1279" i="46"/>
  <c r="C1280" i="46"/>
  <c r="D1280" i="46"/>
  <c r="E1280" i="46"/>
  <c r="C1281" i="46"/>
  <c r="D1281" i="46"/>
  <c r="E1281" i="46"/>
  <c r="C1282" i="46"/>
  <c r="D1282" i="46"/>
  <c r="E1282" i="46"/>
  <c r="C1283" i="46"/>
  <c r="D1283" i="46"/>
  <c r="E1283" i="46"/>
  <c r="C1284" i="46"/>
  <c r="D1284" i="46"/>
  <c r="E1284" i="46"/>
  <c r="C1285" i="46"/>
  <c r="D1285" i="46"/>
  <c r="E1285" i="46"/>
  <c r="C1286" i="46"/>
  <c r="D1286" i="46"/>
  <c r="E1286" i="46"/>
  <c r="C1287" i="46"/>
  <c r="D1287" i="46"/>
  <c r="E1287" i="46"/>
  <c r="C1288" i="46"/>
  <c r="D1288" i="46"/>
  <c r="E1288" i="46"/>
  <c r="C1289" i="46"/>
  <c r="D1289" i="46"/>
  <c r="E1289" i="46"/>
  <c r="C1290" i="46"/>
  <c r="D1290" i="46"/>
  <c r="E1290" i="46"/>
  <c r="C1291" i="46"/>
  <c r="D1291" i="46"/>
  <c r="E1291" i="46"/>
  <c r="C1292" i="46"/>
  <c r="D1292" i="46"/>
  <c r="E1292" i="46"/>
  <c r="C1293" i="46"/>
  <c r="D1293" i="46"/>
  <c r="E1293" i="46"/>
  <c r="C1294" i="46"/>
  <c r="D1294" i="46"/>
  <c r="E1294" i="46"/>
  <c r="C1295" i="46"/>
  <c r="D1295" i="46"/>
  <c r="E1295" i="46"/>
  <c r="C1296" i="46"/>
  <c r="D1296" i="46"/>
  <c r="E1296" i="46"/>
  <c r="C1297" i="46"/>
  <c r="D1297" i="46"/>
  <c r="E1297" i="46"/>
  <c r="C1298" i="46"/>
  <c r="D1298" i="46"/>
  <c r="E1298" i="46"/>
  <c r="C1299" i="46"/>
  <c r="D1299" i="46"/>
  <c r="E1299" i="46"/>
  <c r="C1300" i="46"/>
  <c r="D1300" i="46"/>
  <c r="E1300" i="46"/>
  <c r="C1301" i="46"/>
  <c r="D1301" i="46"/>
  <c r="E1301" i="46"/>
  <c r="C1302" i="46"/>
  <c r="D1302" i="46"/>
  <c r="E1302" i="46"/>
  <c r="C1303" i="46"/>
  <c r="D1303" i="46"/>
  <c r="E1303" i="46"/>
  <c r="C1304" i="46"/>
  <c r="D1304" i="46"/>
  <c r="E1304" i="46"/>
  <c r="C1305" i="46"/>
  <c r="D1305" i="46"/>
  <c r="E1305" i="46"/>
  <c r="C1306" i="46"/>
  <c r="D1306" i="46"/>
  <c r="E1306" i="46"/>
  <c r="C1307" i="46"/>
  <c r="D1307" i="46"/>
  <c r="E1307" i="46"/>
  <c r="C1308" i="46"/>
  <c r="D1308" i="46"/>
  <c r="E1308" i="46"/>
  <c r="C1309" i="46"/>
  <c r="D1309" i="46"/>
  <c r="E1309" i="46"/>
  <c r="C1310" i="46"/>
  <c r="D1310" i="46"/>
  <c r="E1310" i="46"/>
  <c r="C1311" i="46"/>
  <c r="D1311" i="46"/>
  <c r="E1311" i="46"/>
  <c r="C1312" i="46"/>
  <c r="D1312" i="46"/>
  <c r="E1312" i="46"/>
  <c r="C1313" i="46"/>
  <c r="D1313" i="46"/>
  <c r="E1313" i="46"/>
  <c r="C1314" i="46"/>
  <c r="D1314" i="46"/>
  <c r="E1314" i="46"/>
  <c r="C1315" i="46"/>
  <c r="D1315" i="46"/>
  <c r="E1315" i="46"/>
  <c r="C1316" i="46"/>
  <c r="D1316" i="46"/>
  <c r="E1316" i="46"/>
  <c r="C1317" i="46"/>
  <c r="D1317" i="46"/>
  <c r="E1317" i="46"/>
  <c r="C1318" i="46"/>
  <c r="D1318" i="46"/>
  <c r="E1318" i="46"/>
  <c r="C1319" i="46"/>
  <c r="D1319" i="46"/>
  <c r="E1319" i="46"/>
  <c r="C1320" i="46"/>
  <c r="D1320" i="46"/>
  <c r="E1320" i="46"/>
  <c r="C1321" i="46"/>
  <c r="D1321" i="46"/>
  <c r="E1321" i="46"/>
  <c r="C1322" i="46"/>
  <c r="D1322" i="46"/>
  <c r="E1322" i="46"/>
  <c r="C1323" i="46"/>
  <c r="D1323" i="46"/>
  <c r="E1323" i="46"/>
  <c r="C1324" i="46"/>
  <c r="D1324" i="46"/>
  <c r="E1324" i="46"/>
  <c r="C1325" i="46"/>
  <c r="D1325" i="46"/>
  <c r="E1325" i="46"/>
  <c r="C1326" i="46"/>
  <c r="D1326" i="46"/>
  <c r="E1326" i="46"/>
  <c r="C1327" i="46"/>
  <c r="D1327" i="46"/>
  <c r="E1327" i="46"/>
  <c r="C1328" i="46"/>
  <c r="D1328" i="46"/>
  <c r="E1328" i="46"/>
  <c r="C1329" i="46"/>
  <c r="D1329" i="46"/>
  <c r="E1329" i="46"/>
  <c r="C1330" i="46"/>
  <c r="D1330" i="46"/>
  <c r="E1330" i="46"/>
  <c r="C1331" i="46"/>
  <c r="D1331" i="46"/>
  <c r="E1331" i="46"/>
  <c r="C1332" i="46"/>
  <c r="D1332" i="46"/>
  <c r="E1332" i="46"/>
  <c r="C1333" i="46"/>
  <c r="D1333" i="46"/>
  <c r="E1333" i="46"/>
  <c r="C1334" i="46"/>
  <c r="D1334" i="46"/>
  <c r="E1334" i="46"/>
  <c r="C1335" i="46"/>
  <c r="D1335" i="46"/>
  <c r="E1335" i="46"/>
  <c r="C1336" i="46"/>
  <c r="D1336" i="46"/>
  <c r="E1336" i="46"/>
  <c r="C1337" i="46"/>
  <c r="D1337" i="46"/>
  <c r="E1337" i="46"/>
  <c r="C1338" i="46"/>
  <c r="D1338" i="46"/>
  <c r="E1338" i="46"/>
  <c r="C1339" i="46"/>
  <c r="D1339" i="46"/>
  <c r="E1339" i="46"/>
  <c r="C1340" i="46"/>
  <c r="D1340" i="46"/>
  <c r="E1340" i="46"/>
  <c r="C1341" i="46"/>
  <c r="D1341" i="46"/>
  <c r="E1341" i="46"/>
  <c r="C1342" i="46"/>
  <c r="D1342" i="46"/>
  <c r="E1342" i="46"/>
  <c r="C1343" i="46"/>
  <c r="D1343" i="46"/>
  <c r="E1343" i="46"/>
  <c r="C1344" i="46"/>
  <c r="D1344" i="46"/>
  <c r="E1344" i="46"/>
  <c r="C1345" i="46"/>
  <c r="D1345" i="46"/>
  <c r="E1345" i="46"/>
  <c r="C1346" i="46"/>
  <c r="D1346" i="46"/>
  <c r="E1346" i="46"/>
  <c r="C1347" i="46"/>
  <c r="D1347" i="46"/>
  <c r="E1347" i="46"/>
  <c r="C1348" i="46"/>
  <c r="D1348" i="46"/>
  <c r="E1348" i="46"/>
  <c r="C1349" i="46"/>
  <c r="D1349" i="46"/>
  <c r="E1349" i="46"/>
  <c r="C1350" i="46"/>
  <c r="D1350" i="46"/>
  <c r="E1350" i="46"/>
  <c r="C1351" i="46"/>
  <c r="D1351" i="46"/>
  <c r="E1351" i="46"/>
  <c r="C1352" i="46"/>
  <c r="D1352" i="46"/>
  <c r="E1352" i="46"/>
  <c r="C1353" i="46"/>
  <c r="D1353" i="46"/>
  <c r="E1353" i="46"/>
  <c r="C1354" i="46"/>
  <c r="D1354" i="46"/>
  <c r="E1354" i="46"/>
  <c r="C1355" i="46"/>
  <c r="D1355" i="46"/>
  <c r="E1355" i="46"/>
  <c r="C1356" i="46"/>
  <c r="D1356" i="46"/>
  <c r="E1356" i="46"/>
  <c r="C1357" i="46"/>
  <c r="D1357" i="46"/>
  <c r="E1357" i="46"/>
  <c r="C1358" i="46"/>
  <c r="D1358" i="46"/>
  <c r="E1358" i="46"/>
  <c r="C1359" i="46"/>
  <c r="D1359" i="46"/>
  <c r="E1359" i="46"/>
  <c r="C1360" i="46"/>
  <c r="D1360" i="46"/>
  <c r="E1360" i="46"/>
  <c r="C1361" i="46"/>
  <c r="D1361" i="46"/>
  <c r="E1361" i="46"/>
  <c r="C1362" i="46"/>
  <c r="D1362" i="46"/>
  <c r="E1362" i="46"/>
  <c r="C1363" i="46"/>
  <c r="D1363" i="46"/>
  <c r="E1363" i="46"/>
  <c r="C1364" i="46"/>
  <c r="D1364" i="46"/>
  <c r="E1364" i="46"/>
  <c r="C1365" i="46"/>
  <c r="D1365" i="46"/>
  <c r="E1365" i="46"/>
  <c r="C1366" i="46"/>
  <c r="D1366" i="46"/>
  <c r="E1366" i="46"/>
  <c r="C1367" i="46"/>
  <c r="D1367" i="46"/>
  <c r="E1367" i="46"/>
  <c r="C1368" i="46"/>
  <c r="D1368" i="46"/>
  <c r="E1368" i="46"/>
  <c r="C1369" i="46"/>
  <c r="D1369" i="46"/>
  <c r="E1369" i="46"/>
  <c r="C1370" i="46"/>
  <c r="D1370" i="46"/>
  <c r="E1370" i="46"/>
  <c r="C1371" i="46"/>
  <c r="D1371" i="46"/>
  <c r="E1371" i="46"/>
  <c r="C1372" i="46"/>
  <c r="D1372" i="46"/>
  <c r="E1372" i="46"/>
  <c r="C1373" i="46"/>
  <c r="D1373" i="46"/>
  <c r="E1373" i="46"/>
  <c r="C1374" i="46"/>
  <c r="D1374" i="46"/>
  <c r="E1374" i="46"/>
  <c r="C1375" i="46"/>
  <c r="D1375" i="46"/>
  <c r="E1375" i="46"/>
  <c r="C1376" i="46"/>
  <c r="D1376" i="46"/>
  <c r="E1376" i="46"/>
  <c r="C1377" i="46"/>
  <c r="D1377" i="46"/>
  <c r="E1377" i="46"/>
  <c r="C1378" i="46"/>
  <c r="D1378" i="46"/>
  <c r="E1378" i="46"/>
  <c r="C1379" i="46"/>
  <c r="D1379" i="46"/>
  <c r="E1379" i="46"/>
  <c r="C1380" i="46"/>
  <c r="D1380" i="46"/>
  <c r="E1380" i="46"/>
  <c r="C1381" i="46"/>
  <c r="D1381" i="46"/>
  <c r="E1381" i="46"/>
  <c r="C1382" i="46"/>
  <c r="D1382" i="46"/>
  <c r="E1382" i="46"/>
  <c r="C1383" i="46"/>
  <c r="D1383" i="46"/>
  <c r="E1383" i="46"/>
  <c r="C1384" i="46"/>
  <c r="D1384" i="46"/>
  <c r="E1384" i="46"/>
  <c r="C1385" i="46"/>
  <c r="D1385" i="46"/>
  <c r="E1385" i="46"/>
  <c r="C1386" i="46"/>
  <c r="D1386" i="46"/>
  <c r="E1386" i="46"/>
  <c r="C1387" i="46"/>
  <c r="D1387" i="46"/>
  <c r="E1387" i="46"/>
  <c r="C1388" i="46"/>
  <c r="D1388" i="46"/>
  <c r="E1388" i="46"/>
  <c r="C1389" i="46"/>
  <c r="D1389" i="46"/>
  <c r="E1389" i="46"/>
  <c r="C1390" i="46"/>
  <c r="D1390" i="46"/>
  <c r="E1390" i="46"/>
  <c r="C1391" i="46"/>
  <c r="D1391" i="46"/>
  <c r="E1391" i="46"/>
  <c r="C1392" i="46"/>
  <c r="D1392" i="46"/>
  <c r="E1392" i="46"/>
  <c r="C1393" i="46"/>
  <c r="D1393" i="46"/>
  <c r="E1393" i="46"/>
  <c r="C1394" i="46"/>
  <c r="D1394" i="46"/>
  <c r="E1394" i="46"/>
  <c r="C1395" i="46"/>
  <c r="D1395" i="46"/>
  <c r="E1395" i="46"/>
  <c r="C1396" i="46"/>
  <c r="D1396" i="46"/>
  <c r="E1396" i="46"/>
  <c r="C1397" i="46"/>
  <c r="D1397" i="46"/>
  <c r="E1397" i="46"/>
  <c r="C1398" i="46"/>
  <c r="D1398" i="46"/>
  <c r="E1398" i="46"/>
  <c r="C1399" i="46"/>
  <c r="D1399" i="46"/>
  <c r="E1399" i="46"/>
  <c r="C1400" i="46"/>
  <c r="D1400" i="46"/>
  <c r="E1400" i="46"/>
  <c r="C1401" i="46"/>
  <c r="D1401" i="46"/>
  <c r="E1401" i="46"/>
  <c r="C1402" i="46"/>
  <c r="D1402" i="46"/>
  <c r="E1402" i="46"/>
  <c r="C1403" i="46"/>
  <c r="D1403" i="46"/>
  <c r="E1403" i="46"/>
  <c r="C1404" i="46"/>
  <c r="D1404" i="46"/>
  <c r="E1404" i="46"/>
  <c r="C1405" i="46"/>
  <c r="D1405" i="46"/>
  <c r="E1405" i="46"/>
  <c r="C1406" i="46"/>
  <c r="D1406" i="46"/>
  <c r="E1406" i="46"/>
  <c r="C1407" i="46"/>
  <c r="D1407" i="46"/>
  <c r="E1407" i="46"/>
  <c r="C1408" i="46"/>
  <c r="D1408" i="46"/>
  <c r="E1408" i="46"/>
  <c r="C1409" i="46"/>
  <c r="D1409" i="46"/>
  <c r="E1409" i="46"/>
  <c r="C1410" i="46"/>
  <c r="D1410" i="46"/>
  <c r="E1410" i="46"/>
  <c r="C1411" i="46"/>
  <c r="D1411" i="46"/>
  <c r="E1411" i="46"/>
  <c r="C1412" i="46"/>
  <c r="D1412" i="46"/>
  <c r="E1412" i="46"/>
  <c r="C1413" i="46"/>
  <c r="D1413" i="46"/>
  <c r="E1413" i="46"/>
  <c r="C1414" i="46"/>
  <c r="D1414" i="46"/>
  <c r="E1414" i="46"/>
  <c r="C1415" i="46"/>
  <c r="D1415" i="46"/>
  <c r="E1415" i="46"/>
  <c r="C1416" i="46"/>
  <c r="D1416" i="46"/>
  <c r="E1416" i="46"/>
  <c r="C1417" i="46"/>
  <c r="D1417" i="46"/>
  <c r="E1417" i="46"/>
  <c r="C1418" i="46"/>
  <c r="D1418" i="46"/>
  <c r="E1418" i="46"/>
  <c r="C1419" i="46"/>
  <c r="D1419" i="46"/>
  <c r="E1419" i="46"/>
  <c r="C1420" i="46"/>
  <c r="D1420" i="46"/>
  <c r="E1420" i="46"/>
  <c r="C1421" i="46"/>
  <c r="D1421" i="46"/>
  <c r="E1421" i="46"/>
  <c r="C1422" i="46"/>
  <c r="D1422" i="46"/>
  <c r="E1422" i="46"/>
  <c r="C1423" i="46"/>
  <c r="D1423" i="46"/>
  <c r="E1423" i="46"/>
  <c r="C1424" i="46"/>
  <c r="D1424" i="46"/>
  <c r="E1424" i="46"/>
  <c r="C1425" i="46"/>
  <c r="D1425" i="46"/>
  <c r="E1425" i="46"/>
  <c r="C1426" i="46"/>
  <c r="D1426" i="46"/>
  <c r="E1426" i="46"/>
  <c r="C1427" i="46"/>
  <c r="D1427" i="46"/>
  <c r="E1427" i="46"/>
  <c r="C1428" i="46"/>
  <c r="D1428" i="46"/>
  <c r="E1428" i="46"/>
  <c r="C1429" i="46"/>
  <c r="D1429" i="46"/>
  <c r="E1429" i="46"/>
  <c r="C1430" i="46"/>
  <c r="D1430" i="46"/>
  <c r="E1430" i="46"/>
  <c r="C1431" i="46"/>
  <c r="D1431" i="46"/>
  <c r="E1431" i="46"/>
  <c r="C1432" i="46"/>
  <c r="D1432" i="46"/>
  <c r="E1432" i="46"/>
  <c r="C1433" i="46"/>
  <c r="D1433" i="46"/>
  <c r="E1433" i="46"/>
  <c r="C1434" i="46"/>
  <c r="D1434" i="46"/>
  <c r="E1434" i="46"/>
  <c r="C1435" i="46"/>
  <c r="D1435" i="46"/>
  <c r="E1435" i="46"/>
  <c r="C1436" i="46"/>
  <c r="D1436" i="46"/>
  <c r="E1436" i="46"/>
  <c r="C1437" i="46"/>
  <c r="D1437" i="46"/>
  <c r="E1437" i="46"/>
  <c r="C1438" i="46"/>
  <c r="D1438" i="46"/>
  <c r="E1438" i="46"/>
  <c r="C1439" i="46"/>
  <c r="D1439" i="46"/>
  <c r="E1439" i="46"/>
  <c r="C1440" i="46"/>
  <c r="D1440" i="46"/>
  <c r="E1440" i="46"/>
  <c r="C1441" i="46"/>
  <c r="D1441" i="46"/>
  <c r="E1441" i="46"/>
  <c r="C1442" i="46"/>
  <c r="D1442" i="46"/>
  <c r="E1442" i="46"/>
  <c r="C1443" i="46"/>
  <c r="D1443" i="46"/>
  <c r="E1443" i="46"/>
  <c r="C1444" i="46"/>
  <c r="D1444" i="46"/>
  <c r="E1444" i="46"/>
  <c r="C1445" i="46"/>
  <c r="D1445" i="46"/>
  <c r="E1445" i="46"/>
  <c r="C1446" i="46"/>
  <c r="D1446" i="46"/>
  <c r="E1446" i="46"/>
  <c r="C1447" i="46"/>
  <c r="D1447" i="46"/>
  <c r="E1447" i="46"/>
  <c r="C1448" i="46"/>
  <c r="D1448" i="46"/>
  <c r="E1448" i="46"/>
  <c r="C1449" i="46"/>
  <c r="D1449" i="46"/>
  <c r="E1449" i="46"/>
  <c r="C1450" i="46"/>
  <c r="D1450" i="46"/>
  <c r="E1450" i="46"/>
  <c r="C1451" i="46"/>
  <c r="D1451" i="46"/>
  <c r="E1451" i="46"/>
  <c r="C1452" i="46"/>
  <c r="D1452" i="46"/>
  <c r="E1452" i="46"/>
  <c r="C1453" i="46"/>
  <c r="D1453" i="46"/>
  <c r="E1453" i="46"/>
  <c r="C1454" i="46"/>
  <c r="D1454" i="46"/>
  <c r="E1454" i="46"/>
  <c r="C1455" i="46"/>
  <c r="D1455" i="46"/>
  <c r="E1455" i="46"/>
  <c r="C1456" i="46"/>
  <c r="D1456" i="46"/>
  <c r="E1456" i="46"/>
  <c r="C1457" i="46"/>
  <c r="D1457" i="46"/>
  <c r="E1457" i="46"/>
  <c r="C1458" i="46"/>
  <c r="D1458" i="46"/>
  <c r="E1458" i="46"/>
  <c r="C1459" i="46"/>
  <c r="D1459" i="46"/>
  <c r="E1459" i="46"/>
  <c r="C1460" i="46"/>
  <c r="D1460" i="46"/>
  <c r="E1460" i="46"/>
  <c r="C1461" i="46"/>
  <c r="D1461" i="46"/>
  <c r="E1461" i="46"/>
  <c r="C1462" i="46"/>
  <c r="D1462" i="46"/>
  <c r="E1462" i="46"/>
  <c r="C1463" i="46"/>
  <c r="D1463" i="46"/>
  <c r="E1463" i="46"/>
  <c r="C1464" i="46"/>
  <c r="D1464" i="46"/>
  <c r="E1464" i="46"/>
  <c r="C1465" i="46"/>
  <c r="D1465" i="46"/>
  <c r="E1465" i="46"/>
  <c r="E5" i="46"/>
  <c r="D5" i="46"/>
  <c r="C5" i="46"/>
  <c r="F7" i="45"/>
  <c r="F8" i="45"/>
  <c r="F9" i="45"/>
  <c r="F10" i="45"/>
  <c r="F11" i="45"/>
  <c r="F6" i="45"/>
  <c r="E7" i="45"/>
  <c r="E8" i="45"/>
  <c r="E9" i="45"/>
  <c r="E10" i="45"/>
  <c r="E11" i="45"/>
  <c r="E6" i="45"/>
  <c r="D5" i="44"/>
  <c r="D6" i="44"/>
  <c r="D7" i="44"/>
  <c r="D8" i="44"/>
  <c r="D9" i="44"/>
  <c r="D4" i="44"/>
  <c r="E11" i="43"/>
  <c r="E10" i="43"/>
  <c r="E9" i="43"/>
  <c r="C14" i="43"/>
  <c r="C13" i="43"/>
  <c r="C3" i="42"/>
  <c r="D8" i="42" s="1"/>
  <c r="G5" i="41"/>
  <c r="F6" i="39"/>
  <c r="F5" i="39"/>
  <c r="G9" i="38"/>
  <c r="G7" i="38"/>
  <c r="G8" i="38"/>
  <c r="G6" i="38"/>
  <c r="F15" i="36"/>
  <c r="F14" i="36"/>
  <c r="F9" i="36"/>
  <c r="F12" i="35"/>
  <c r="F5" i="31"/>
  <c r="F5" i="30"/>
  <c r="F6" i="30"/>
  <c r="C6" i="29" a="1"/>
  <c r="C6" i="29" s="1"/>
  <c r="C5" i="29"/>
  <c r="C4" i="29"/>
  <c r="C6" i="28" a="1"/>
  <c r="C6" i="28"/>
  <c r="C4" i="27"/>
  <c r="E5" i="25"/>
  <c r="E6" i="25"/>
  <c r="E7" i="25"/>
  <c r="E8" i="25"/>
  <c r="E9" i="25"/>
  <c r="E10" i="25"/>
  <c r="E11" i="25"/>
  <c r="E12" i="25"/>
  <c r="E13" i="25"/>
  <c r="E14" i="25"/>
  <c r="E15" i="25"/>
  <c r="E16" i="25"/>
  <c r="E17" i="25"/>
  <c r="E18" i="25"/>
  <c r="E4" i="25"/>
  <c r="D5" i="25"/>
  <c r="D6" i="25"/>
  <c r="D7" i="25"/>
  <c r="D8" i="25"/>
  <c r="D9" i="25"/>
  <c r="D10" i="25"/>
  <c r="D11" i="25"/>
  <c r="D12" i="25"/>
  <c r="D13" i="25"/>
  <c r="D14" i="25"/>
  <c r="D15" i="25"/>
  <c r="D16" i="25"/>
  <c r="D17" i="25"/>
  <c r="D18" i="25"/>
  <c r="D4" i="25"/>
  <c r="F13" i="24"/>
  <c r="F11" i="24"/>
  <c r="D5" i="24"/>
  <c r="D6" i="24"/>
  <c r="D7" i="24"/>
  <c r="D8" i="24"/>
  <c r="D9" i="24"/>
  <c r="D10" i="24"/>
  <c r="D11" i="24"/>
  <c r="D12" i="24"/>
  <c r="D13" i="24"/>
  <c r="D14" i="24"/>
  <c r="D15" i="24"/>
  <c r="D16" i="24"/>
  <c r="D17" i="24"/>
  <c r="D18" i="24"/>
  <c r="D4" i="24"/>
  <c r="F9" i="19"/>
  <c r="E11" i="18" a="1"/>
  <c r="E11" i="18"/>
  <c r="E12" i="18" a="1"/>
  <c r="E12" i="18"/>
  <c r="E13" i="18" a="1"/>
  <c r="E13" i="18" s="1"/>
  <c r="E14" i="18" a="1"/>
  <c r="E14" i="18"/>
  <c r="E15" i="18" a="1"/>
  <c r="E15" i="18"/>
  <c r="E10" i="18" a="1"/>
  <c r="E10" i="18" s="1"/>
  <c r="F5" i="7"/>
  <c r="E5" i="7"/>
  <c r="E6" i="13"/>
  <c r="E5" i="13"/>
  <c r="D6" i="13"/>
  <c r="D5" i="13"/>
  <c r="C6" i="13"/>
  <c r="C5" i="13"/>
  <c r="E5" i="26"/>
  <c r="D5" i="26"/>
  <c r="C5" i="26"/>
  <c r="E10" i="17"/>
  <c r="E11" i="17"/>
  <c r="E12" i="17"/>
  <c r="E13" i="17"/>
  <c r="E14" i="17"/>
  <c r="E15" i="17"/>
  <c r="E9" i="17"/>
  <c r="E7" i="3"/>
  <c r="E8" i="3"/>
  <c r="E9" i="3"/>
  <c r="E10" i="3"/>
  <c r="E11" i="3"/>
  <c r="E12" i="3"/>
  <c r="E6" i="3"/>
  <c r="C9" i="51"/>
  <c r="F9" i="51" s="1"/>
  <c r="F8" i="51"/>
  <c r="C8" i="51"/>
  <c r="D8" i="51" s="1"/>
  <c r="G7" i="51"/>
  <c r="C7" i="51"/>
  <c r="F7" i="51" s="1"/>
  <c r="C6" i="51"/>
  <c r="G6" i="51" s="1"/>
  <c r="E8" i="50"/>
  <c r="D8" i="50"/>
  <c r="C8" i="50"/>
  <c r="F8" i="50" s="1"/>
  <c r="E7" i="50"/>
  <c r="D7" i="50"/>
  <c r="C7" i="50"/>
  <c r="F7" i="50" s="1"/>
  <c r="E6" i="50"/>
  <c r="D6" i="50"/>
  <c r="C6" i="50"/>
  <c r="E5" i="50"/>
  <c r="D5" i="50"/>
  <c r="C5" i="50"/>
  <c r="E4" i="50"/>
  <c r="D4" i="50"/>
  <c r="C4" i="50"/>
  <c r="D11" i="48"/>
  <c r="D10" i="48"/>
  <c r="D9" i="48"/>
  <c r="D8" i="48"/>
  <c r="D7" i="48"/>
  <c r="D6" i="48"/>
  <c r="D5" i="48"/>
  <c r="D4" i="48"/>
  <c r="F17" i="47"/>
  <c r="F16" i="47"/>
  <c r="F15" i="47"/>
  <c r="F12" i="47"/>
  <c r="B6" i="46"/>
  <c r="B7" i="46" s="1"/>
  <c r="E9" i="40"/>
  <c r="C9" i="40"/>
  <c r="O11" i="39"/>
  <c r="H13" i="37"/>
  <c r="H11" i="37"/>
  <c r="B6" i="37"/>
  <c r="B7" i="37" s="1"/>
  <c r="B8" i="37" s="1"/>
  <c r="B9" i="37" s="1"/>
  <c r="B10" i="37" s="1"/>
  <c r="B11" i="37" s="1"/>
  <c r="B12" i="37" s="1"/>
  <c r="B13" i="37" s="1"/>
  <c r="B14" i="37" s="1"/>
  <c r="B15" i="37" s="1"/>
  <c r="B16" i="37" s="1"/>
  <c r="C14" i="36"/>
  <c r="C9" i="36"/>
  <c r="C12" i="35"/>
  <c r="D4" i="33"/>
  <c r="E11" i="22"/>
  <c r="E10" i="22"/>
  <c r="E9" i="22"/>
  <c r="E8" i="22"/>
  <c r="E7" i="22"/>
  <c r="E6" i="22"/>
  <c r="H13" i="20"/>
  <c r="H12" i="20"/>
  <c r="H11" i="20"/>
  <c r="H10" i="20"/>
  <c r="H9" i="20"/>
  <c r="H8" i="20"/>
  <c r="H11" i="19"/>
  <c r="F11" i="19"/>
  <c r="H10" i="19"/>
  <c r="F10" i="19"/>
  <c r="H9" i="19"/>
  <c r="H8" i="19"/>
  <c r="F8" i="19"/>
  <c r="H7" i="19"/>
  <c r="F7" i="19"/>
  <c r="H6" i="19"/>
  <c r="F6" i="19"/>
  <c r="E9" i="18"/>
  <c r="D7" i="51" l="1"/>
  <c r="F5" i="50"/>
  <c r="F6" i="50"/>
  <c r="D12" i="48"/>
  <c r="D10" i="42"/>
  <c r="D7" i="42"/>
  <c r="D12" i="42"/>
  <c r="D11" i="42"/>
  <c r="D9" i="42"/>
  <c r="C15" i="36"/>
  <c r="O7" i="39"/>
  <c r="O10" i="39"/>
  <c r="H7" i="51"/>
  <c r="D9" i="40"/>
  <c r="D9" i="51"/>
  <c r="G9" i="51"/>
  <c r="H9" i="51" s="1"/>
  <c r="H15" i="37"/>
  <c r="H6" i="37" s="1"/>
  <c r="F4" i="50"/>
  <c r="O6" i="39"/>
  <c r="O5" i="39"/>
  <c r="O9" i="39"/>
  <c r="O8" i="39"/>
  <c r="B8" i="46"/>
  <c r="G6" i="48"/>
  <c r="G5" i="48"/>
  <c r="G8" i="51"/>
  <c r="H8" i="51" s="1"/>
  <c r="D6" i="51"/>
  <c r="F6" i="51"/>
  <c r="H6" i="51" s="1"/>
  <c r="G7" i="48" l="1"/>
  <c r="G9" i="48" s="1"/>
  <c r="B9" i="46"/>
  <c r="B10" i="46" l="1"/>
  <c r="B11" i="46" l="1"/>
  <c r="B12" i="46" l="1"/>
  <c r="B13" i="46" l="1"/>
  <c r="B14" i="46" l="1"/>
  <c r="B15" i="46" l="1"/>
  <c r="B16" i="46" l="1"/>
  <c r="B17" i="46" l="1"/>
  <c r="B18" i="46" l="1"/>
  <c r="B19" i="46" l="1"/>
  <c r="B20" i="46" l="1"/>
  <c r="B21" i="46" l="1"/>
  <c r="B22" i="46" l="1"/>
  <c r="B23" i="46" l="1"/>
  <c r="B24" i="46" l="1"/>
  <c r="B25" i="46" l="1"/>
  <c r="B26" i="46" l="1"/>
  <c r="B27" i="46" l="1"/>
  <c r="B28" i="46" l="1"/>
  <c r="B29" i="46" l="1"/>
  <c r="B30" i="46" l="1"/>
  <c r="B31" i="46" l="1"/>
  <c r="B32" i="46" l="1"/>
  <c r="B33" i="46" l="1"/>
  <c r="B34" i="46" l="1"/>
  <c r="B35" i="46" l="1"/>
  <c r="B36" i="46" l="1"/>
  <c r="B37" i="46" l="1"/>
  <c r="B38" i="46" l="1"/>
  <c r="B39" i="46" l="1"/>
  <c r="B40" i="46" l="1"/>
  <c r="B41" i="46" l="1"/>
  <c r="B42" i="46" l="1"/>
  <c r="B43" i="46" l="1"/>
  <c r="B44" i="46" l="1"/>
  <c r="B45" i="46" l="1"/>
  <c r="B46" i="46" l="1"/>
  <c r="B47" i="46" l="1"/>
  <c r="B48" i="46" l="1"/>
  <c r="B49" i="46" l="1"/>
  <c r="B50" i="46" l="1"/>
  <c r="B51" i="46" l="1"/>
  <c r="B52" i="46" l="1"/>
  <c r="B53" i="46" l="1"/>
  <c r="B54" i="46" l="1"/>
  <c r="B55" i="46" l="1"/>
  <c r="B56" i="46" l="1"/>
  <c r="B57" i="46" l="1"/>
  <c r="B58" i="46" l="1"/>
  <c r="B59" i="46" l="1"/>
  <c r="B60" i="46" l="1"/>
  <c r="B61" i="46" l="1"/>
  <c r="B62" i="46" l="1"/>
  <c r="B63" i="46" l="1"/>
  <c r="B64" i="46" l="1"/>
  <c r="B65" i="46" l="1"/>
  <c r="B66" i="46" l="1"/>
  <c r="B67" i="46" l="1"/>
  <c r="B68" i="46" l="1"/>
  <c r="B69" i="46" l="1"/>
  <c r="B70" i="46" l="1"/>
  <c r="B71" i="46" l="1"/>
  <c r="B72" i="46" l="1"/>
  <c r="B73" i="46" l="1"/>
  <c r="B74" i="46" l="1"/>
  <c r="B75" i="46" l="1"/>
  <c r="B76" i="46" l="1"/>
  <c r="B77" i="46" l="1"/>
  <c r="B78" i="46" l="1"/>
  <c r="B79" i="46" l="1"/>
  <c r="B80" i="46" l="1"/>
  <c r="B81" i="46" l="1"/>
  <c r="B82" i="46" l="1"/>
  <c r="B83" i="46" l="1"/>
  <c r="B84" i="46" l="1"/>
  <c r="B85" i="46" l="1"/>
  <c r="B86" i="46" l="1"/>
  <c r="B87" i="46" l="1"/>
  <c r="B88" i="46" l="1"/>
  <c r="B89" i="46" l="1"/>
  <c r="B90" i="46" l="1"/>
  <c r="B91" i="46" l="1"/>
  <c r="B92" i="46" l="1"/>
  <c r="B93" i="46" l="1"/>
  <c r="B94" i="46" l="1"/>
  <c r="B95" i="46" l="1"/>
  <c r="B96" i="46" l="1"/>
  <c r="B97" i="46" l="1"/>
  <c r="B98" i="46" l="1"/>
  <c r="B99" i="46" l="1"/>
  <c r="B100" i="46" l="1"/>
  <c r="B101" i="46" l="1"/>
  <c r="B102" i="46" l="1"/>
  <c r="B103" i="46" l="1"/>
  <c r="B104" i="46" l="1"/>
  <c r="B105" i="46" l="1"/>
  <c r="B106" i="46" l="1"/>
  <c r="B107" i="46" l="1"/>
  <c r="B108" i="46" l="1"/>
  <c r="B109" i="46" l="1"/>
  <c r="B110" i="46" l="1"/>
  <c r="B111" i="46" l="1"/>
  <c r="B112" i="46" l="1"/>
  <c r="B113" i="46" l="1"/>
  <c r="B114" i="46" l="1"/>
  <c r="B115" i="46" l="1"/>
  <c r="B116" i="46" l="1"/>
  <c r="B117" i="46" l="1"/>
  <c r="B118" i="46" l="1"/>
  <c r="B119" i="46" l="1"/>
  <c r="B120" i="46" l="1"/>
  <c r="B121" i="46" l="1"/>
  <c r="B122" i="46" l="1"/>
  <c r="B123" i="46" l="1"/>
  <c r="B124" i="46" l="1"/>
  <c r="B125" i="46" l="1"/>
  <c r="B126" i="46" l="1"/>
  <c r="B127" i="46" l="1"/>
  <c r="B128" i="46" l="1"/>
  <c r="B129" i="46" l="1"/>
  <c r="B130" i="46" l="1"/>
  <c r="B131" i="46" l="1"/>
  <c r="B132" i="46" l="1"/>
  <c r="B133" i="46" l="1"/>
  <c r="B134" i="46" l="1"/>
  <c r="B135" i="46" l="1"/>
  <c r="B136" i="46" l="1"/>
  <c r="B137" i="46" l="1"/>
  <c r="B138" i="46" l="1"/>
  <c r="B139" i="46" l="1"/>
  <c r="B140" i="46" l="1"/>
  <c r="B141" i="46" l="1"/>
  <c r="B142" i="46" l="1"/>
  <c r="B143" i="46" l="1"/>
  <c r="B144" i="46" l="1"/>
  <c r="B145" i="46" l="1"/>
  <c r="B146" i="46" l="1"/>
  <c r="B147" i="46" l="1"/>
  <c r="B148" i="46" l="1"/>
  <c r="B149" i="46" l="1"/>
  <c r="B150" i="46" l="1"/>
  <c r="B151" i="46" l="1"/>
  <c r="B152" i="46" l="1"/>
  <c r="B153" i="46" l="1"/>
  <c r="B154" i="46" l="1"/>
  <c r="B155" i="46" l="1"/>
  <c r="B156" i="46" l="1"/>
  <c r="B157" i="46" l="1"/>
  <c r="B158" i="46" l="1"/>
  <c r="B159" i="46" l="1"/>
  <c r="B160" i="46" l="1"/>
  <c r="B161" i="46" l="1"/>
  <c r="B162" i="46" l="1"/>
  <c r="B163" i="46" l="1"/>
  <c r="B164" i="46" l="1"/>
  <c r="B165" i="46" l="1"/>
  <c r="B166" i="46" l="1"/>
  <c r="B167" i="46" l="1"/>
  <c r="B168" i="46" l="1"/>
  <c r="B169" i="46" l="1"/>
  <c r="B170" i="46" l="1"/>
  <c r="B171" i="46" l="1"/>
  <c r="B172" i="46" l="1"/>
  <c r="B173" i="46" l="1"/>
  <c r="B174" i="46" l="1"/>
  <c r="B175" i="46" l="1"/>
  <c r="B176" i="46" l="1"/>
  <c r="B177" i="46" l="1"/>
  <c r="B178" i="46" l="1"/>
  <c r="B179" i="46" l="1"/>
  <c r="B180" i="46" l="1"/>
  <c r="B181" i="46" l="1"/>
  <c r="B182" i="46" l="1"/>
  <c r="B183" i="46" l="1"/>
  <c r="B184" i="46" l="1"/>
  <c r="B185" i="46" l="1"/>
  <c r="B186" i="46" l="1"/>
  <c r="B187" i="46" l="1"/>
  <c r="B188" i="46" l="1"/>
  <c r="B189" i="46" l="1"/>
  <c r="B190" i="46" l="1"/>
  <c r="B191" i="46" l="1"/>
  <c r="B192" i="46" l="1"/>
  <c r="B193" i="46" l="1"/>
  <c r="B194" i="46" l="1"/>
  <c r="B195" i="46" l="1"/>
  <c r="B196" i="46" l="1"/>
  <c r="B197" i="46" l="1"/>
  <c r="B198" i="46" l="1"/>
  <c r="B199" i="46" l="1"/>
  <c r="B200" i="46" l="1"/>
  <c r="B201" i="46" l="1"/>
  <c r="B202" i="46" l="1"/>
  <c r="B203" i="46" l="1"/>
  <c r="B204" i="46" l="1"/>
  <c r="B205" i="46" l="1"/>
  <c r="B206" i="46" l="1"/>
  <c r="B207" i="46" l="1"/>
  <c r="B208" i="46" l="1"/>
  <c r="B209" i="46" l="1"/>
  <c r="B210" i="46" l="1"/>
  <c r="B211" i="46" l="1"/>
  <c r="B212" i="46" l="1"/>
  <c r="B213" i="46" l="1"/>
  <c r="B214" i="46" l="1"/>
  <c r="B215" i="46" l="1"/>
  <c r="B216" i="46" l="1"/>
  <c r="B217" i="46" l="1"/>
  <c r="B218" i="46" l="1"/>
  <c r="B219" i="46" l="1"/>
  <c r="B220" i="46" l="1"/>
  <c r="B221" i="46" l="1"/>
  <c r="B222" i="46" l="1"/>
  <c r="B223" i="46" l="1"/>
  <c r="B224" i="46" l="1"/>
  <c r="B225" i="46" l="1"/>
  <c r="B226" i="46" l="1"/>
  <c r="B227" i="46" l="1"/>
  <c r="B228" i="46" l="1"/>
  <c r="B229" i="46" l="1"/>
  <c r="B230" i="46" l="1"/>
  <c r="B231" i="46" l="1"/>
  <c r="B232" i="46" l="1"/>
  <c r="B233" i="46" l="1"/>
  <c r="B234" i="46" l="1"/>
  <c r="B235" i="46" l="1"/>
  <c r="B236" i="46" l="1"/>
  <c r="B237" i="46" l="1"/>
  <c r="B238" i="46" l="1"/>
  <c r="B239" i="46" l="1"/>
  <c r="B240" i="46" l="1"/>
  <c r="B241" i="46" l="1"/>
  <c r="B242" i="46" l="1"/>
  <c r="B243" i="46" l="1"/>
  <c r="B244" i="46" l="1"/>
  <c r="B245" i="46" l="1"/>
  <c r="B246" i="46" l="1"/>
  <c r="B247" i="46" l="1"/>
  <c r="B248" i="46" l="1"/>
  <c r="B249" i="46" l="1"/>
  <c r="B250" i="46" l="1"/>
  <c r="B251" i="46" l="1"/>
  <c r="B252" i="46" l="1"/>
  <c r="B253" i="46" l="1"/>
  <c r="B254" i="46" l="1"/>
  <c r="B255" i="46" l="1"/>
  <c r="B256" i="46" l="1"/>
  <c r="B257" i="46" l="1"/>
  <c r="B258" i="46" l="1"/>
  <c r="B259" i="46" l="1"/>
  <c r="B260" i="46" l="1"/>
  <c r="B261" i="46" l="1"/>
  <c r="B262" i="46" l="1"/>
  <c r="B263" i="46" l="1"/>
  <c r="B264" i="46" l="1"/>
  <c r="B265" i="46" l="1"/>
  <c r="B266" i="46" l="1"/>
  <c r="B267" i="46" l="1"/>
  <c r="B268" i="46" l="1"/>
  <c r="B269" i="46" l="1"/>
  <c r="B270" i="46" l="1"/>
  <c r="B271" i="46" l="1"/>
  <c r="B272" i="46" l="1"/>
  <c r="B273" i="46" l="1"/>
  <c r="B274" i="46" l="1"/>
  <c r="B275" i="46" l="1"/>
  <c r="B276" i="46" l="1"/>
  <c r="B277" i="46" l="1"/>
  <c r="B278" i="46" l="1"/>
  <c r="B279" i="46" l="1"/>
  <c r="B280" i="46" l="1"/>
  <c r="B281" i="46" l="1"/>
  <c r="B282" i="46" l="1"/>
  <c r="B283" i="46" l="1"/>
  <c r="B284" i="46" l="1"/>
  <c r="B285" i="46" l="1"/>
  <c r="B286" i="46" l="1"/>
  <c r="B287" i="46" l="1"/>
  <c r="B288" i="46" l="1"/>
  <c r="B289" i="46" l="1"/>
  <c r="B290" i="46" l="1"/>
  <c r="B291" i="46" l="1"/>
  <c r="B292" i="46" l="1"/>
  <c r="B293" i="46" l="1"/>
  <c r="B294" i="46" l="1"/>
  <c r="B295" i="46" l="1"/>
  <c r="B296" i="46" l="1"/>
  <c r="B297" i="46" l="1"/>
  <c r="B298" i="46" l="1"/>
  <c r="B299" i="46" l="1"/>
  <c r="B300" i="46" l="1"/>
  <c r="B301" i="46" l="1"/>
  <c r="B302" i="46" l="1"/>
  <c r="B303" i="46" l="1"/>
  <c r="B304" i="46" l="1"/>
  <c r="B305" i="46" l="1"/>
  <c r="B306" i="46" l="1"/>
  <c r="B307" i="46" l="1"/>
  <c r="B308" i="46" l="1"/>
  <c r="B309" i="46" l="1"/>
  <c r="B310" i="46" l="1"/>
  <c r="B311" i="46" l="1"/>
  <c r="B312" i="46" l="1"/>
  <c r="B313" i="46" l="1"/>
  <c r="B314" i="46" l="1"/>
  <c r="B315" i="46" l="1"/>
  <c r="B316" i="46" l="1"/>
  <c r="B317" i="46" l="1"/>
  <c r="B318" i="46" l="1"/>
  <c r="B319" i="46" l="1"/>
  <c r="B320" i="46" l="1"/>
  <c r="B321" i="46" l="1"/>
  <c r="B322" i="46" l="1"/>
  <c r="B323" i="46" l="1"/>
  <c r="B324" i="46" l="1"/>
  <c r="B325" i="46" l="1"/>
  <c r="B326" i="46" l="1"/>
  <c r="B327" i="46" l="1"/>
  <c r="B328" i="46" l="1"/>
  <c r="B329" i="46" l="1"/>
  <c r="B330" i="46" l="1"/>
  <c r="B331" i="46" l="1"/>
  <c r="B332" i="46" l="1"/>
  <c r="B333" i="46" l="1"/>
  <c r="B334" i="46" l="1"/>
  <c r="B335" i="46" l="1"/>
  <c r="B336" i="46" l="1"/>
  <c r="B337" i="46" l="1"/>
  <c r="B338" i="46" l="1"/>
  <c r="B339" i="46" l="1"/>
  <c r="B340" i="46" l="1"/>
  <c r="B341" i="46" l="1"/>
  <c r="B342" i="46" l="1"/>
  <c r="B343" i="46" l="1"/>
  <c r="B344" i="46" l="1"/>
  <c r="B345" i="46" l="1"/>
  <c r="B346" i="46" l="1"/>
  <c r="B347" i="46" l="1"/>
  <c r="B348" i="46" l="1"/>
  <c r="B349" i="46" l="1"/>
  <c r="B350" i="46" l="1"/>
  <c r="B351" i="46" l="1"/>
  <c r="B352" i="46" l="1"/>
  <c r="B353" i="46" l="1"/>
  <c r="B354" i="46" l="1"/>
  <c r="B355" i="46" l="1"/>
  <c r="B356" i="46" l="1"/>
  <c r="B357" i="46" l="1"/>
  <c r="B358" i="46" l="1"/>
  <c r="B359" i="46" l="1"/>
  <c r="B360" i="46" l="1"/>
  <c r="B361" i="46" l="1"/>
  <c r="B362" i="46" l="1"/>
  <c r="B363" i="46" l="1"/>
  <c r="B364" i="46" l="1"/>
  <c r="B365" i="46" l="1"/>
  <c r="B366" i="46" l="1"/>
  <c r="B367" i="46" l="1"/>
  <c r="B368" i="46" l="1"/>
  <c r="B369" i="46" l="1"/>
  <c r="B370" i="46" l="1"/>
  <c r="B371" i="46" l="1"/>
  <c r="B372" i="46" l="1"/>
  <c r="B373" i="46" l="1"/>
  <c r="B374" i="46" l="1"/>
  <c r="B375" i="46" l="1"/>
  <c r="B376" i="46" l="1"/>
  <c r="B377" i="46" l="1"/>
  <c r="B378" i="46" l="1"/>
  <c r="B379" i="46" l="1"/>
  <c r="B380" i="46" l="1"/>
  <c r="B381" i="46" l="1"/>
  <c r="B382" i="46" l="1"/>
  <c r="B383" i="46" l="1"/>
  <c r="B384" i="46" l="1"/>
  <c r="B385" i="46" l="1"/>
  <c r="B386" i="46" l="1"/>
  <c r="B387" i="46" l="1"/>
  <c r="B388" i="46" l="1"/>
  <c r="B389" i="46" l="1"/>
  <c r="B390" i="46" l="1"/>
  <c r="B391" i="46" l="1"/>
  <c r="B392" i="46" l="1"/>
  <c r="B393" i="46" l="1"/>
  <c r="B394" i="46" l="1"/>
  <c r="B395" i="46" l="1"/>
  <c r="B396" i="46" l="1"/>
  <c r="B397" i="46" l="1"/>
  <c r="B398" i="46" l="1"/>
  <c r="B399" i="46" l="1"/>
  <c r="B400" i="46" l="1"/>
  <c r="B401" i="46" l="1"/>
  <c r="B402" i="46" l="1"/>
  <c r="B403" i="46" l="1"/>
  <c r="B404" i="46" l="1"/>
  <c r="B405" i="46" l="1"/>
  <c r="B406" i="46" l="1"/>
  <c r="B407" i="46" l="1"/>
  <c r="B408" i="46" l="1"/>
  <c r="B409" i="46" l="1"/>
  <c r="B410" i="46" l="1"/>
  <c r="B411" i="46" l="1"/>
  <c r="B412" i="46" l="1"/>
  <c r="B413" i="46" l="1"/>
  <c r="B414" i="46" l="1"/>
  <c r="B415" i="46" l="1"/>
  <c r="B416" i="46" l="1"/>
  <c r="B417" i="46" l="1"/>
  <c r="B418" i="46" l="1"/>
  <c r="B419" i="46" l="1"/>
  <c r="B420" i="46" l="1"/>
  <c r="B421" i="46" l="1"/>
  <c r="B422" i="46" l="1"/>
  <c r="B423" i="46" l="1"/>
  <c r="B424" i="46" l="1"/>
  <c r="B425" i="46" l="1"/>
  <c r="B426" i="46" l="1"/>
  <c r="B427" i="46" l="1"/>
  <c r="B428" i="46" l="1"/>
  <c r="B429" i="46" l="1"/>
  <c r="B430" i="46" l="1"/>
  <c r="B431" i="46" l="1"/>
  <c r="B432" i="46" l="1"/>
  <c r="B433" i="46" l="1"/>
  <c r="B434" i="46" l="1"/>
  <c r="B435" i="46" l="1"/>
  <c r="B436" i="46" l="1"/>
  <c r="B437" i="46" l="1"/>
  <c r="B438" i="46" l="1"/>
  <c r="B439" i="46" l="1"/>
  <c r="B440" i="46" l="1"/>
  <c r="B441" i="46" l="1"/>
  <c r="B442" i="46" l="1"/>
  <c r="B443" i="46" l="1"/>
  <c r="B444" i="46" l="1"/>
  <c r="B445" i="46" l="1"/>
  <c r="B446" i="46" l="1"/>
  <c r="B447" i="46" l="1"/>
  <c r="B448" i="46" l="1"/>
  <c r="B449" i="46" l="1"/>
  <c r="B450" i="46" l="1"/>
  <c r="B451" i="46" l="1"/>
  <c r="B452" i="46" l="1"/>
  <c r="B453" i="46" l="1"/>
  <c r="B454" i="46" l="1"/>
  <c r="B455" i="46" l="1"/>
  <c r="B456" i="46" l="1"/>
  <c r="B457" i="46" l="1"/>
  <c r="B458" i="46" l="1"/>
  <c r="B459" i="46" l="1"/>
  <c r="B460" i="46" l="1"/>
  <c r="B461" i="46" l="1"/>
  <c r="B462" i="46" l="1"/>
  <c r="B463" i="46" l="1"/>
  <c r="B464" i="46" l="1"/>
  <c r="B465" i="46" l="1"/>
  <c r="B466" i="46" l="1"/>
  <c r="B467" i="46" l="1"/>
  <c r="B468" i="46" l="1"/>
  <c r="B469" i="46" l="1"/>
  <c r="B470" i="46" l="1"/>
  <c r="B471" i="46" l="1"/>
  <c r="B472" i="46" l="1"/>
  <c r="B473" i="46" l="1"/>
  <c r="B474" i="46" l="1"/>
  <c r="B475" i="46" l="1"/>
  <c r="B476" i="46" l="1"/>
  <c r="B477" i="46" l="1"/>
  <c r="B478" i="46" l="1"/>
  <c r="B479" i="46" l="1"/>
  <c r="B480" i="46" l="1"/>
  <c r="B481" i="46" l="1"/>
  <c r="B482" i="46" l="1"/>
  <c r="B483" i="46" l="1"/>
  <c r="B484" i="46" l="1"/>
  <c r="B485" i="46" l="1"/>
  <c r="B486" i="46" l="1"/>
  <c r="B487" i="46" l="1"/>
  <c r="B488" i="46" l="1"/>
  <c r="B489" i="46" l="1"/>
  <c r="B490" i="46" l="1"/>
  <c r="B491" i="46" l="1"/>
  <c r="B492" i="46" l="1"/>
  <c r="B493" i="46" l="1"/>
  <c r="B494" i="46" l="1"/>
  <c r="B495" i="46" l="1"/>
  <c r="B496" i="46" l="1"/>
  <c r="B497" i="46" l="1"/>
  <c r="B498" i="46" l="1"/>
  <c r="B499" i="46" l="1"/>
  <c r="B500" i="46" l="1"/>
  <c r="B501" i="46" l="1"/>
  <c r="B502" i="46" l="1"/>
  <c r="B503" i="46" l="1"/>
  <c r="B504" i="46" l="1"/>
  <c r="B505" i="46" l="1"/>
  <c r="B506" i="46" l="1"/>
  <c r="B507" i="46" l="1"/>
  <c r="B508" i="46" l="1"/>
  <c r="B509" i="46" l="1"/>
  <c r="B510" i="46" l="1"/>
  <c r="B511" i="46" l="1"/>
  <c r="B512" i="46" l="1"/>
  <c r="B513" i="46" l="1"/>
  <c r="B514" i="46" l="1"/>
  <c r="B515" i="46" l="1"/>
  <c r="B516" i="46" l="1"/>
  <c r="B517" i="46" l="1"/>
  <c r="B518" i="46" l="1"/>
  <c r="B519" i="46" l="1"/>
  <c r="B520" i="46" l="1"/>
  <c r="B521" i="46" l="1"/>
  <c r="B522" i="46" l="1"/>
  <c r="B523" i="46" l="1"/>
  <c r="B524" i="46" l="1"/>
  <c r="B525" i="46" l="1"/>
  <c r="B526" i="46" l="1"/>
  <c r="B527" i="46" l="1"/>
  <c r="B528" i="46" l="1"/>
  <c r="B529" i="46" l="1"/>
  <c r="B530" i="46" l="1"/>
  <c r="B531" i="46" l="1"/>
  <c r="B532" i="46" l="1"/>
  <c r="B533" i="46" l="1"/>
  <c r="B534" i="46" l="1"/>
  <c r="B535" i="46" l="1"/>
  <c r="B536" i="46" l="1"/>
  <c r="B537" i="46" l="1"/>
  <c r="B538" i="46" l="1"/>
  <c r="B539" i="46" l="1"/>
  <c r="B540" i="46" l="1"/>
  <c r="B541" i="46" l="1"/>
  <c r="B542" i="46" l="1"/>
  <c r="B543" i="46" l="1"/>
  <c r="B544" i="46" l="1"/>
  <c r="B545" i="46" l="1"/>
  <c r="B546" i="46" l="1"/>
  <c r="B547" i="46" l="1"/>
  <c r="B548" i="46" l="1"/>
  <c r="B549" i="46" l="1"/>
  <c r="B550" i="46" l="1"/>
  <c r="B551" i="46" l="1"/>
  <c r="B552" i="46" l="1"/>
  <c r="B553" i="46" l="1"/>
  <c r="B554" i="46" l="1"/>
  <c r="B555" i="46" l="1"/>
  <c r="B556" i="46" l="1"/>
  <c r="B557" i="46" l="1"/>
  <c r="B558" i="46" l="1"/>
  <c r="B559" i="46" l="1"/>
  <c r="B560" i="46" l="1"/>
  <c r="B561" i="46" l="1"/>
  <c r="B562" i="46" l="1"/>
  <c r="B563" i="46" l="1"/>
  <c r="B564" i="46" l="1"/>
  <c r="B565" i="46" l="1"/>
  <c r="B566" i="46" l="1"/>
  <c r="B567" i="46" l="1"/>
  <c r="B568" i="46" l="1"/>
  <c r="B569" i="46" l="1"/>
  <c r="B570" i="46" l="1"/>
  <c r="B571" i="46" l="1"/>
  <c r="B572" i="46" l="1"/>
  <c r="B573" i="46" l="1"/>
  <c r="B574" i="46" l="1"/>
  <c r="B575" i="46" l="1"/>
  <c r="B576" i="46" l="1"/>
  <c r="B577" i="46" l="1"/>
  <c r="B578" i="46" l="1"/>
  <c r="B579" i="46" l="1"/>
  <c r="B580" i="46" l="1"/>
  <c r="B581" i="46" l="1"/>
  <c r="B582" i="46" l="1"/>
  <c r="B583" i="46" l="1"/>
  <c r="B584" i="46" l="1"/>
  <c r="B585" i="46" l="1"/>
  <c r="B586" i="46" l="1"/>
  <c r="B587" i="46" l="1"/>
  <c r="B588" i="46" l="1"/>
  <c r="B589" i="46" l="1"/>
  <c r="B590" i="46" l="1"/>
  <c r="B591" i="46" l="1"/>
  <c r="B592" i="46" l="1"/>
  <c r="B593" i="46" l="1"/>
  <c r="B594" i="46" l="1"/>
  <c r="B595" i="46" l="1"/>
  <c r="B596" i="46" l="1"/>
  <c r="B597" i="46" l="1"/>
  <c r="B598" i="46" l="1"/>
  <c r="B599" i="46" l="1"/>
  <c r="B600" i="46" l="1"/>
  <c r="B601" i="46" l="1"/>
  <c r="B602" i="46" l="1"/>
  <c r="B603" i="46" l="1"/>
  <c r="B604" i="46" l="1"/>
  <c r="B605" i="46" l="1"/>
  <c r="B606" i="46" l="1"/>
  <c r="B607" i="46" l="1"/>
  <c r="B608" i="46" l="1"/>
  <c r="B609" i="46" l="1"/>
  <c r="B610" i="46" l="1"/>
  <c r="B611" i="46" l="1"/>
  <c r="B612" i="46" l="1"/>
  <c r="B613" i="46" l="1"/>
  <c r="B614" i="46" l="1"/>
  <c r="B615" i="46" l="1"/>
  <c r="B616" i="46" l="1"/>
  <c r="B617" i="46" l="1"/>
  <c r="B618" i="46" l="1"/>
  <c r="B619" i="46" l="1"/>
  <c r="B620" i="46" l="1"/>
  <c r="B621" i="46" l="1"/>
  <c r="B622" i="46" l="1"/>
  <c r="B623" i="46" l="1"/>
  <c r="B624" i="46" l="1"/>
  <c r="B625" i="46" l="1"/>
  <c r="B626" i="46" l="1"/>
  <c r="B627" i="46" l="1"/>
  <c r="B628" i="46" l="1"/>
  <c r="B629" i="46" l="1"/>
  <c r="B630" i="46" l="1"/>
  <c r="B631" i="46" l="1"/>
  <c r="B632" i="46" l="1"/>
  <c r="B633" i="46" l="1"/>
  <c r="B634" i="46" l="1"/>
  <c r="B635" i="46" l="1"/>
  <c r="B636" i="46" l="1"/>
  <c r="B637" i="46" l="1"/>
  <c r="B638" i="46" l="1"/>
  <c r="B639" i="46" l="1"/>
  <c r="B640" i="46" l="1"/>
  <c r="B641" i="46" l="1"/>
  <c r="B642" i="46" l="1"/>
  <c r="B643" i="46" l="1"/>
  <c r="B644" i="46" l="1"/>
  <c r="B645" i="46" l="1"/>
  <c r="B646" i="46" l="1"/>
  <c r="B647" i="46" l="1"/>
  <c r="B648" i="46" l="1"/>
  <c r="B649" i="46" l="1"/>
  <c r="B650" i="46" l="1"/>
  <c r="B651" i="46" l="1"/>
  <c r="B652" i="46" l="1"/>
  <c r="B653" i="46" l="1"/>
  <c r="B654" i="46" l="1"/>
  <c r="B655" i="46" l="1"/>
  <c r="B656" i="46" l="1"/>
  <c r="B657" i="46" l="1"/>
  <c r="B658" i="46" l="1"/>
  <c r="B659" i="46" l="1"/>
  <c r="B660" i="46" l="1"/>
  <c r="B661" i="46" l="1"/>
  <c r="B662" i="46" l="1"/>
  <c r="B663" i="46" l="1"/>
  <c r="B664" i="46" l="1"/>
  <c r="B665" i="46" l="1"/>
  <c r="B666" i="46" l="1"/>
  <c r="B667" i="46" l="1"/>
  <c r="B668" i="46" l="1"/>
  <c r="B669" i="46" l="1"/>
  <c r="B670" i="46" l="1"/>
  <c r="B671" i="46" l="1"/>
  <c r="B672" i="46" l="1"/>
  <c r="B673" i="46" l="1"/>
  <c r="B674" i="46" l="1"/>
  <c r="B675" i="46" l="1"/>
  <c r="B676" i="46" l="1"/>
  <c r="B677" i="46" l="1"/>
  <c r="B678" i="46" l="1"/>
  <c r="B679" i="46" l="1"/>
  <c r="B680" i="46" l="1"/>
  <c r="B681" i="46" l="1"/>
  <c r="B682" i="46" l="1"/>
  <c r="B683" i="46" l="1"/>
  <c r="B684" i="46" l="1"/>
  <c r="B685" i="46" l="1"/>
  <c r="B686" i="46" l="1"/>
  <c r="B687" i="46" l="1"/>
  <c r="B688" i="46" l="1"/>
  <c r="B689" i="46" l="1"/>
  <c r="B690" i="46" l="1"/>
  <c r="B691" i="46" l="1"/>
  <c r="B692" i="46" l="1"/>
  <c r="B693" i="46" l="1"/>
  <c r="B694" i="46" l="1"/>
  <c r="B695" i="46" l="1"/>
  <c r="B696" i="46" l="1"/>
  <c r="B697" i="46" l="1"/>
  <c r="B698" i="46" l="1"/>
  <c r="B699" i="46" l="1"/>
  <c r="B700" i="46" l="1"/>
  <c r="B701" i="46" l="1"/>
  <c r="B702" i="46" l="1"/>
  <c r="B703" i="46" l="1"/>
  <c r="B704" i="46" l="1"/>
  <c r="B705" i="46" l="1"/>
  <c r="B706" i="46" l="1"/>
  <c r="B707" i="46" l="1"/>
  <c r="B708" i="46" l="1"/>
  <c r="B709" i="46" l="1"/>
  <c r="B710" i="46" l="1"/>
  <c r="B711" i="46" l="1"/>
  <c r="B712" i="46" l="1"/>
  <c r="B713" i="46" l="1"/>
  <c r="B714" i="46" l="1"/>
  <c r="B715" i="46" l="1"/>
  <c r="B716" i="46" l="1"/>
  <c r="B717" i="46" l="1"/>
  <c r="B718" i="46" l="1"/>
  <c r="B719" i="46" l="1"/>
  <c r="B720" i="46" l="1"/>
  <c r="B721" i="46" l="1"/>
  <c r="B722" i="46" l="1"/>
  <c r="B723" i="46" l="1"/>
  <c r="B724" i="46" l="1"/>
  <c r="B725" i="46" l="1"/>
  <c r="B726" i="46" l="1"/>
  <c r="B727" i="46" l="1"/>
  <c r="B728" i="46" l="1"/>
  <c r="B729" i="46" l="1"/>
  <c r="B730" i="46" l="1"/>
  <c r="B731" i="46" l="1"/>
  <c r="B732" i="46" l="1"/>
  <c r="B733" i="46" l="1"/>
  <c r="B734" i="46" l="1"/>
  <c r="B735" i="46" l="1"/>
  <c r="B736" i="46" l="1"/>
  <c r="B737" i="46" l="1"/>
  <c r="B738" i="46" l="1"/>
  <c r="B739" i="46" l="1"/>
  <c r="B740" i="46" l="1"/>
  <c r="B741" i="46" l="1"/>
  <c r="B742" i="46" l="1"/>
  <c r="B743" i="46" l="1"/>
  <c r="B744" i="46" l="1"/>
  <c r="B745" i="46" l="1"/>
  <c r="B746" i="46" l="1"/>
  <c r="B747" i="46" l="1"/>
  <c r="B748" i="46" l="1"/>
  <c r="B749" i="46" l="1"/>
  <c r="B750" i="46" l="1"/>
  <c r="B751" i="46" l="1"/>
  <c r="B752" i="46" l="1"/>
  <c r="B753" i="46" l="1"/>
  <c r="B754" i="46" l="1"/>
  <c r="B755" i="46" l="1"/>
  <c r="B756" i="46" l="1"/>
  <c r="B757" i="46" l="1"/>
  <c r="B758" i="46" l="1"/>
  <c r="B759" i="46" l="1"/>
  <c r="B760" i="46" l="1"/>
  <c r="B761" i="46" l="1"/>
  <c r="B762" i="46" l="1"/>
  <c r="B763" i="46" l="1"/>
  <c r="B764" i="46" l="1"/>
  <c r="B765" i="46" l="1"/>
  <c r="B766" i="46" l="1"/>
  <c r="B767" i="46" l="1"/>
  <c r="B768" i="46" l="1"/>
  <c r="B769" i="46" l="1"/>
  <c r="B770" i="46" l="1"/>
  <c r="B771" i="46" l="1"/>
  <c r="B772" i="46" l="1"/>
  <c r="B773" i="46" l="1"/>
  <c r="B774" i="46" l="1"/>
  <c r="B775" i="46" l="1"/>
  <c r="B776" i="46" l="1"/>
  <c r="B777" i="46" l="1"/>
  <c r="B778" i="46" l="1"/>
  <c r="B779" i="46" l="1"/>
  <c r="B780" i="46" l="1"/>
  <c r="B781" i="46" l="1"/>
  <c r="B782" i="46" l="1"/>
  <c r="B783" i="46" l="1"/>
  <c r="B784" i="46" l="1"/>
  <c r="B785" i="46" l="1"/>
  <c r="B786" i="46" l="1"/>
  <c r="B787" i="46" l="1"/>
  <c r="B788" i="46" l="1"/>
  <c r="B789" i="46" l="1"/>
  <c r="B790" i="46" l="1"/>
  <c r="B791" i="46" l="1"/>
  <c r="B792" i="46" l="1"/>
  <c r="B793" i="46" l="1"/>
  <c r="B794" i="46" l="1"/>
  <c r="B795" i="46" l="1"/>
  <c r="B796" i="46" l="1"/>
  <c r="B797" i="46" l="1"/>
  <c r="B798" i="46" l="1"/>
  <c r="B799" i="46" l="1"/>
  <c r="B800" i="46" l="1"/>
  <c r="B801" i="46" l="1"/>
  <c r="B802" i="46" l="1"/>
  <c r="B803" i="46" l="1"/>
  <c r="B804" i="46" l="1"/>
  <c r="B805" i="46" l="1"/>
  <c r="B806" i="46" l="1"/>
  <c r="B807" i="46" l="1"/>
  <c r="B808" i="46" l="1"/>
  <c r="B809" i="46" l="1"/>
  <c r="B810" i="46" l="1"/>
  <c r="B811" i="46" l="1"/>
  <c r="B812" i="46" l="1"/>
  <c r="B813" i="46" l="1"/>
  <c r="B814" i="46" l="1"/>
  <c r="B815" i="46" l="1"/>
  <c r="B816" i="46" l="1"/>
  <c r="B817" i="46" l="1"/>
  <c r="B818" i="46" l="1"/>
  <c r="B819" i="46" l="1"/>
  <c r="B820" i="46" l="1"/>
  <c r="B821" i="46" l="1"/>
  <c r="B822" i="46" l="1"/>
  <c r="B823" i="46" l="1"/>
  <c r="B824" i="46" l="1"/>
  <c r="B825" i="46" l="1"/>
  <c r="B826" i="46" l="1"/>
  <c r="B827" i="46" l="1"/>
  <c r="B828" i="46" l="1"/>
  <c r="B829" i="46" l="1"/>
  <c r="B830" i="46" l="1"/>
  <c r="B831" i="46" l="1"/>
  <c r="B832" i="46" l="1"/>
  <c r="B833" i="46" l="1"/>
  <c r="B834" i="46" l="1"/>
  <c r="B835" i="46" l="1"/>
  <c r="B836" i="46" l="1"/>
  <c r="B837" i="46" l="1"/>
  <c r="B838" i="46" l="1"/>
  <c r="B839" i="46" l="1"/>
  <c r="B840" i="46" l="1"/>
  <c r="B841" i="46" l="1"/>
  <c r="B842" i="46" l="1"/>
  <c r="B843" i="46" l="1"/>
  <c r="B844" i="46" l="1"/>
  <c r="B845" i="46" l="1"/>
  <c r="B846" i="46" l="1"/>
  <c r="B847" i="46" l="1"/>
  <c r="B848" i="46" l="1"/>
  <c r="B849" i="46" l="1"/>
  <c r="B850" i="46" l="1"/>
  <c r="B851" i="46" l="1"/>
  <c r="B852" i="46" l="1"/>
  <c r="B853" i="46" l="1"/>
  <c r="B854" i="46" l="1"/>
  <c r="B855" i="46" l="1"/>
  <c r="B856" i="46" l="1"/>
  <c r="B857" i="46" l="1"/>
  <c r="B858" i="46" l="1"/>
  <c r="B859" i="46" l="1"/>
  <c r="B860" i="46" l="1"/>
  <c r="B861" i="46" l="1"/>
  <c r="B862" i="46" l="1"/>
  <c r="B863" i="46" l="1"/>
  <c r="B864" i="46" l="1"/>
  <c r="B865" i="46" l="1"/>
  <c r="B866" i="46" l="1"/>
  <c r="B867" i="46" l="1"/>
  <c r="B868" i="46" l="1"/>
  <c r="B869" i="46" l="1"/>
  <c r="B870" i="46" l="1"/>
  <c r="B871" i="46" l="1"/>
  <c r="B872" i="46" l="1"/>
  <c r="B873" i="46" l="1"/>
  <c r="B874" i="46" l="1"/>
  <c r="B875" i="46" l="1"/>
  <c r="B876" i="46" l="1"/>
  <c r="B877" i="46" l="1"/>
  <c r="B878" i="46" l="1"/>
  <c r="B879" i="46" l="1"/>
  <c r="B880" i="46" l="1"/>
  <c r="B881" i="46" l="1"/>
  <c r="B882" i="46" l="1"/>
  <c r="B883" i="46" l="1"/>
  <c r="B884" i="46" l="1"/>
  <c r="B885" i="46" l="1"/>
  <c r="B886" i="46" l="1"/>
  <c r="B887" i="46" l="1"/>
  <c r="B888" i="46" l="1"/>
  <c r="B889" i="46" l="1"/>
  <c r="B890" i="46" l="1"/>
  <c r="B891" i="46" l="1"/>
  <c r="B892" i="46" l="1"/>
  <c r="B893" i="46" l="1"/>
  <c r="B894" i="46" l="1"/>
  <c r="B895" i="46" l="1"/>
  <c r="B896" i="46" l="1"/>
  <c r="B897" i="46" l="1"/>
  <c r="B898" i="46" l="1"/>
  <c r="B899" i="46" l="1"/>
  <c r="B900" i="46" l="1"/>
  <c r="B901" i="46" l="1"/>
  <c r="B902" i="46" l="1"/>
  <c r="B903" i="46" l="1"/>
  <c r="B904" i="46" l="1"/>
  <c r="B905" i="46" l="1"/>
  <c r="B906" i="46" l="1"/>
  <c r="B907" i="46" l="1"/>
  <c r="B908" i="46" l="1"/>
  <c r="B909" i="46" l="1"/>
  <c r="B910" i="46" l="1"/>
  <c r="B911" i="46" l="1"/>
  <c r="B912" i="46" l="1"/>
  <c r="B913" i="46" l="1"/>
  <c r="B914" i="46" l="1"/>
  <c r="B915" i="46" l="1"/>
  <c r="B916" i="46" l="1"/>
  <c r="B917" i="46" l="1"/>
  <c r="B918" i="46" l="1"/>
  <c r="B919" i="46" l="1"/>
  <c r="B920" i="46" l="1"/>
  <c r="B921" i="46" l="1"/>
  <c r="B922" i="46" l="1"/>
  <c r="B923" i="46" l="1"/>
  <c r="B924" i="46" l="1"/>
  <c r="B925" i="46" l="1"/>
  <c r="B926" i="46" l="1"/>
  <c r="B927" i="46" l="1"/>
  <c r="B928" i="46" l="1"/>
  <c r="B929" i="46" l="1"/>
  <c r="B930" i="46" l="1"/>
  <c r="B931" i="46" l="1"/>
  <c r="B932" i="46" l="1"/>
  <c r="B933" i="46" l="1"/>
  <c r="B934" i="46" l="1"/>
  <c r="B935" i="46" l="1"/>
  <c r="B936" i="46" l="1"/>
  <c r="B937" i="46" l="1"/>
  <c r="B938" i="46" l="1"/>
  <c r="B939" i="46" l="1"/>
  <c r="B940" i="46" l="1"/>
  <c r="B941" i="46" l="1"/>
  <c r="B942" i="46" l="1"/>
  <c r="B943" i="46" l="1"/>
  <c r="B944" i="46" l="1"/>
  <c r="B945" i="46" l="1"/>
  <c r="B946" i="46" l="1"/>
  <c r="B947" i="46" l="1"/>
  <c r="B948" i="46" l="1"/>
  <c r="B949" i="46" l="1"/>
  <c r="B950" i="46" l="1"/>
  <c r="B951" i="46" l="1"/>
  <c r="B952" i="46" l="1"/>
  <c r="B953" i="46" l="1"/>
  <c r="B954" i="46" l="1"/>
  <c r="B955" i="46" l="1"/>
  <c r="B956" i="46" l="1"/>
  <c r="B957" i="46" l="1"/>
  <c r="B958" i="46" l="1"/>
  <c r="B959" i="46" l="1"/>
  <c r="B960" i="46" l="1"/>
  <c r="B961" i="46" l="1"/>
  <c r="B962" i="46" l="1"/>
  <c r="B963" i="46" l="1"/>
  <c r="B964" i="46" l="1"/>
  <c r="B965" i="46" l="1"/>
  <c r="B966" i="46" l="1"/>
  <c r="B967" i="46" l="1"/>
  <c r="B968" i="46" l="1"/>
  <c r="B969" i="46" l="1"/>
  <c r="B970" i="46" l="1"/>
  <c r="B971" i="46" l="1"/>
  <c r="B972" i="46" l="1"/>
  <c r="B973" i="46" l="1"/>
  <c r="B974" i="46" l="1"/>
  <c r="B975" i="46" l="1"/>
  <c r="B976" i="46" l="1"/>
  <c r="B977" i="46" l="1"/>
  <c r="B978" i="46" l="1"/>
  <c r="B979" i="46" l="1"/>
  <c r="B980" i="46" l="1"/>
  <c r="B981" i="46" l="1"/>
  <c r="B982" i="46" l="1"/>
  <c r="B983" i="46" l="1"/>
  <c r="B984" i="46" l="1"/>
  <c r="B985" i="46" l="1"/>
  <c r="B986" i="46" l="1"/>
  <c r="B987" i="46" l="1"/>
  <c r="B988" i="46" l="1"/>
  <c r="B989" i="46" l="1"/>
  <c r="B990" i="46" l="1"/>
  <c r="B991" i="46" l="1"/>
  <c r="B992" i="46" l="1"/>
  <c r="B993" i="46" l="1"/>
  <c r="B994" i="46" l="1"/>
  <c r="B995" i="46" l="1"/>
  <c r="B996" i="46" l="1"/>
  <c r="B997" i="46" l="1"/>
  <c r="B998" i="46" l="1"/>
  <c r="B999" i="46" l="1"/>
  <c r="B1000" i="46" l="1"/>
  <c r="B1001" i="46" l="1"/>
  <c r="B1002" i="46" l="1"/>
  <c r="B1003" i="46" l="1"/>
  <c r="B1004" i="46" l="1"/>
  <c r="B1005" i="46" l="1"/>
  <c r="B1006" i="46" l="1"/>
  <c r="B1007" i="46" l="1"/>
  <c r="B1008" i="46" l="1"/>
  <c r="B1009" i="46" l="1"/>
  <c r="B1010" i="46" l="1"/>
  <c r="B1011" i="46" l="1"/>
  <c r="B1012" i="46" l="1"/>
  <c r="B1013" i="46" l="1"/>
  <c r="B1014" i="46" l="1"/>
  <c r="B1015" i="46" l="1"/>
  <c r="B1016" i="46" l="1"/>
  <c r="B1017" i="46" l="1"/>
  <c r="B1018" i="46" l="1"/>
  <c r="B1019" i="46" l="1"/>
  <c r="B1020" i="46" l="1"/>
  <c r="B1021" i="46" l="1"/>
  <c r="B1022" i="46" l="1"/>
  <c r="B1023" i="46" l="1"/>
  <c r="B1024" i="46" l="1"/>
  <c r="B1025" i="46" l="1"/>
  <c r="B1026" i="46" l="1"/>
  <c r="B1027" i="46" l="1"/>
  <c r="B1028" i="46" l="1"/>
  <c r="B1029" i="46" l="1"/>
  <c r="B1030" i="46" l="1"/>
  <c r="B1031" i="46" l="1"/>
  <c r="B1032" i="46" l="1"/>
  <c r="B1033" i="46" l="1"/>
  <c r="B1034" i="46" l="1"/>
  <c r="B1035" i="46" l="1"/>
  <c r="B1036" i="46" l="1"/>
  <c r="B1037" i="46" l="1"/>
  <c r="B1038" i="46" l="1"/>
  <c r="B1039" i="46" l="1"/>
  <c r="B1040" i="46" l="1"/>
  <c r="B1041" i="46" l="1"/>
  <c r="B1042" i="46" l="1"/>
  <c r="B1043" i="46" l="1"/>
  <c r="B1044" i="46" l="1"/>
  <c r="B1045" i="46" l="1"/>
  <c r="B1046" i="46" l="1"/>
  <c r="B1047" i="46" l="1"/>
  <c r="B1048" i="46" l="1"/>
  <c r="B1049" i="46" l="1"/>
  <c r="B1050" i="46" l="1"/>
  <c r="B1051" i="46" l="1"/>
  <c r="B1052" i="46" l="1"/>
  <c r="B1053" i="46" l="1"/>
  <c r="B1054" i="46" l="1"/>
  <c r="B1055" i="46" l="1"/>
  <c r="B1056" i="46" l="1"/>
  <c r="B1057" i="46" l="1"/>
  <c r="B1058" i="46" l="1"/>
  <c r="B1059" i="46" l="1"/>
  <c r="B1060" i="46" l="1"/>
  <c r="B1061" i="46" l="1"/>
  <c r="B1062" i="46" l="1"/>
  <c r="B1063" i="46" l="1"/>
  <c r="B1064" i="46" l="1"/>
  <c r="B1065" i="46" l="1"/>
  <c r="B1066" i="46" l="1"/>
  <c r="B1067" i="46" l="1"/>
  <c r="B1068" i="46" l="1"/>
  <c r="B1069" i="46" l="1"/>
  <c r="B1070" i="46" l="1"/>
  <c r="B1071" i="46" l="1"/>
  <c r="B1072" i="46" l="1"/>
  <c r="B1073" i="46" l="1"/>
  <c r="B1074" i="46" l="1"/>
  <c r="B1075" i="46" l="1"/>
  <c r="B1076" i="46" l="1"/>
  <c r="B1077" i="46" l="1"/>
  <c r="B1078" i="46" l="1"/>
  <c r="B1079" i="46" l="1"/>
  <c r="B1080" i="46" l="1"/>
  <c r="B1081" i="46" l="1"/>
  <c r="B1082" i="46" l="1"/>
  <c r="B1083" i="46" l="1"/>
  <c r="B1084" i="46" l="1"/>
  <c r="B1085" i="46" l="1"/>
  <c r="B1086" i="46" l="1"/>
  <c r="B1087" i="46" l="1"/>
  <c r="B1088" i="46" l="1"/>
  <c r="B1089" i="46" l="1"/>
  <c r="B1090" i="46" l="1"/>
  <c r="B1091" i="46" l="1"/>
  <c r="B1092" i="46" l="1"/>
  <c r="B1093" i="46" l="1"/>
  <c r="B1094" i="46" l="1"/>
  <c r="B1095" i="46" l="1"/>
  <c r="B1096" i="46" l="1"/>
  <c r="B1097" i="46" l="1"/>
  <c r="B1098" i="46" l="1"/>
  <c r="B1099" i="46" l="1"/>
  <c r="B1100" i="46" l="1"/>
  <c r="B1101" i="46" l="1"/>
  <c r="B1102" i="46" l="1"/>
  <c r="B1103" i="46" l="1"/>
  <c r="B1104" i="46" l="1"/>
  <c r="B1105" i="46" l="1"/>
  <c r="B1106" i="46" l="1"/>
  <c r="B1107" i="46" l="1"/>
  <c r="B1108" i="46" l="1"/>
  <c r="B1109" i="46" l="1"/>
  <c r="B1110" i="46" l="1"/>
  <c r="B1111" i="46" l="1"/>
  <c r="B1112" i="46" l="1"/>
  <c r="B1113" i="46" l="1"/>
  <c r="B1114" i="46" l="1"/>
  <c r="B1115" i="46" l="1"/>
  <c r="B1116" i="46" l="1"/>
  <c r="B1117" i="46" l="1"/>
  <c r="B1118" i="46" l="1"/>
  <c r="B1119" i="46" l="1"/>
  <c r="B1120" i="46" l="1"/>
  <c r="B1121" i="46" l="1"/>
  <c r="B1122" i="46" l="1"/>
  <c r="B1123" i="46" l="1"/>
  <c r="B1124" i="46" l="1"/>
  <c r="B1125" i="46" l="1"/>
  <c r="B1126" i="46" l="1"/>
  <c r="B1127" i="46" l="1"/>
  <c r="B1128" i="46" l="1"/>
  <c r="B1129" i="46" l="1"/>
  <c r="B1130" i="46" l="1"/>
  <c r="B1131" i="46" l="1"/>
  <c r="B1132" i="46" l="1"/>
  <c r="B1133" i="46" l="1"/>
  <c r="B1134" i="46" l="1"/>
  <c r="B1135" i="46" l="1"/>
  <c r="B1136" i="46" l="1"/>
  <c r="B1137" i="46" l="1"/>
  <c r="B1138" i="46" l="1"/>
  <c r="B1139" i="46" l="1"/>
  <c r="B1140" i="46" l="1"/>
  <c r="B1141" i="46" l="1"/>
  <c r="B1142" i="46" l="1"/>
  <c r="B1143" i="46" l="1"/>
  <c r="B1144" i="46" l="1"/>
  <c r="B1145" i="46" l="1"/>
  <c r="B1146" i="46" l="1"/>
  <c r="B1147" i="46" l="1"/>
  <c r="B1148" i="46" l="1"/>
  <c r="B1149" i="46" l="1"/>
  <c r="B1150" i="46" l="1"/>
  <c r="B1151" i="46" l="1"/>
  <c r="B1152" i="46" l="1"/>
  <c r="B1153" i="46" l="1"/>
  <c r="B1154" i="46" l="1"/>
  <c r="B1155" i="46" l="1"/>
  <c r="B1156" i="46" l="1"/>
  <c r="B1157" i="46" l="1"/>
  <c r="B1158" i="46" l="1"/>
  <c r="B1159" i="46" l="1"/>
  <c r="B1160" i="46" l="1"/>
  <c r="B1161" i="46" l="1"/>
  <c r="B1162" i="46" l="1"/>
  <c r="B1163" i="46" l="1"/>
  <c r="B1164" i="46" l="1"/>
  <c r="B1165" i="46" l="1"/>
  <c r="B1166" i="46" l="1"/>
  <c r="B1167" i="46" l="1"/>
  <c r="B1168" i="46" l="1"/>
  <c r="B1169" i="46" l="1"/>
  <c r="B1170" i="46" l="1"/>
  <c r="B1171" i="46" l="1"/>
  <c r="B1172" i="46" l="1"/>
  <c r="B1173" i="46" l="1"/>
  <c r="B1174" i="46" l="1"/>
  <c r="B1175" i="46" l="1"/>
  <c r="B1176" i="46" l="1"/>
  <c r="B1177" i="46" l="1"/>
  <c r="B1178" i="46" l="1"/>
  <c r="B1179" i="46" l="1"/>
  <c r="B1180" i="46" l="1"/>
  <c r="B1181" i="46" l="1"/>
  <c r="B1182" i="46" l="1"/>
  <c r="B1183" i="46" l="1"/>
  <c r="B1184" i="46" l="1"/>
  <c r="B1185" i="46" l="1"/>
  <c r="B1186" i="46" l="1"/>
  <c r="B1187" i="46" l="1"/>
  <c r="B1188" i="46" l="1"/>
  <c r="B1189" i="46" l="1"/>
  <c r="B1190" i="46" l="1"/>
  <c r="B1191" i="46" l="1"/>
  <c r="B1192" i="46" l="1"/>
  <c r="B1193" i="46" l="1"/>
  <c r="B1194" i="46" l="1"/>
  <c r="B1195" i="46" l="1"/>
  <c r="B1196" i="46" l="1"/>
  <c r="B1197" i="46" l="1"/>
  <c r="B1198" i="46" l="1"/>
  <c r="B1199" i="46" l="1"/>
  <c r="B1200" i="46" l="1"/>
  <c r="B1201" i="46" l="1"/>
  <c r="B1202" i="46" l="1"/>
  <c r="B1203" i="46" l="1"/>
  <c r="B1204" i="46" l="1"/>
  <c r="B1205" i="46" l="1"/>
  <c r="B1206" i="46" l="1"/>
  <c r="B1207" i="46" l="1"/>
  <c r="B1208" i="46" l="1"/>
  <c r="B1209" i="46" l="1"/>
  <c r="B1210" i="46" l="1"/>
  <c r="B1211" i="46" l="1"/>
  <c r="B1212" i="46" l="1"/>
  <c r="B1213" i="46" l="1"/>
  <c r="B1214" i="46" l="1"/>
  <c r="B1215" i="46" l="1"/>
  <c r="B1216" i="46" l="1"/>
  <c r="B1217" i="46" l="1"/>
  <c r="B1218" i="46" l="1"/>
  <c r="B1219" i="46" l="1"/>
  <c r="B1220" i="46" l="1"/>
  <c r="B1221" i="46" l="1"/>
  <c r="B1222" i="46" l="1"/>
  <c r="B1223" i="46" l="1"/>
  <c r="B1224" i="46" l="1"/>
  <c r="B1225" i="46" l="1"/>
  <c r="B1226" i="46" l="1"/>
  <c r="B1227" i="46" l="1"/>
  <c r="B1228" i="46" l="1"/>
  <c r="B1229" i="46" l="1"/>
  <c r="B1230" i="46" l="1"/>
  <c r="B1231" i="46" l="1"/>
  <c r="B1232" i="46" l="1"/>
  <c r="B1233" i="46" l="1"/>
  <c r="B1234" i="46" l="1"/>
  <c r="B1235" i="46" l="1"/>
  <c r="B1236" i="46" l="1"/>
  <c r="B1237" i="46" l="1"/>
  <c r="B1238" i="46" l="1"/>
  <c r="B1239" i="46" l="1"/>
  <c r="B1240" i="46" l="1"/>
  <c r="B1241" i="46" l="1"/>
  <c r="B1242" i="46" l="1"/>
  <c r="B1243" i="46" l="1"/>
  <c r="B1244" i="46" l="1"/>
  <c r="B1245" i="46" l="1"/>
  <c r="B1246" i="46" l="1"/>
  <c r="B1247" i="46" l="1"/>
  <c r="B1248" i="46" l="1"/>
  <c r="B1249" i="46" l="1"/>
  <c r="B1250" i="46" l="1"/>
  <c r="B1251" i="46" l="1"/>
  <c r="B1252" i="46" l="1"/>
  <c r="B1253" i="46" l="1"/>
  <c r="B1254" i="46" l="1"/>
  <c r="B1255" i="46" l="1"/>
  <c r="B1256" i="46" l="1"/>
  <c r="B1257" i="46" l="1"/>
  <c r="B1258" i="46" l="1"/>
  <c r="B1259" i="46" l="1"/>
  <c r="B1260" i="46" l="1"/>
  <c r="B1261" i="46" l="1"/>
  <c r="B1262" i="46" l="1"/>
  <c r="B1263" i="46" l="1"/>
  <c r="B1264" i="46" l="1"/>
  <c r="B1265" i="46" l="1"/>
  <c r="B1266" i="46" l="1"/>
  <c r="B1267" i="46" l="1"/>
  <c r="B1268" i="46" l="1"/>
  <c r="B1269" i="46" l="1"/>
  <c r="B1270" i="46" l="1"/>
  <c r="B1271" i="46" l="1"/>
  <c r="B1272" i="46" l="1"/>
  <c r="B1273" i="46" l="1"/>
  <c r="B1274" i="46" l="1"/>
  <c r="B1275" i="46" l="1"/>
  <c r="B1276" i="46" l="1"/>
  <c r="B1277" i="46" l="1"/>
  <c r="B1278" i="46" l="1"/>
  <c r="B1279" i="46" l="1"/>
  <c r="B1280" i="46" l="1"/>
  <c r="B1281" i="46" l="1"/>
  <c r="B1282" i="46" l="1"/>
  <c r="B1283" i="46" l="1"/>
  <c r="B1284" i="46" l="1"/>
  <c r="B1285" i="46" l="1"/>
  <c r="B1286" i="46" l="1"/>
  <c r="B1287" i="46" l="1"/>
  <c r="B1288" i="46" l="1"/>
  <c r="B1289" i="46" l="1"/>
  <c r="B1290" i="46" l="1"/>
  <c r="B1291" i="46" l="1"/>
  <c r="B1292" i="46" l="1"/>
  <c r="B1293" i="46" l="1"/>
  <c r="B1294" i="46" l="1"/>
  <c r="B1295" i="46" l="1"/>
  <c r="B1296" i="46" l="1"/>
  <c r="B1297" i="46" l="1"/>
  <c r="B1298" i="46" l="1"/>
  <c r="B1299" i="46" l="1"/>
  <c r="B1300" i="46" l="1"/>
  <c r="B1301" i="46" l="1"/>
  <c r="B1302" i="46" l="1"/>
  <c r="B1303" i="46" l="1"/>
  <c r="B1304" i="46" l="1"/>
  <c r="B1305" i="46" l="1"/>
  <c r="B1306" i="46" l="1"/>
  <c r="B1307" i="46" l="1"/>
  <c r="B1308" i="46" l="1"/>
  <c r="B1309" i="46" l="1"/>
  <c r="B1310" i="46" l="1"/>
  <c r="B1311" i="46" l="1"/>
  <c r="B1312" i="46" l="1"/>
  <c r="B1313" i="46" l="1"/>
  <c r="B1314" i="46" l="1"/>
  <c r="B1315" i="46" l="1"/>
  <c r="B1316" i="46" l="1"/>
  <c r="B1317" i="46" l="1"/>
  <c r="B1318" i="46" l="1"/>
  <c r="B1319" i="46" l="1"/>
  <c r="B1320" i="46" l="1"/>
  <c r="B1321" i="46" l="1"/>
  <c r="B1322" i="46" l="1"/>
  <c r="B1323" i="46" l="1"/>
  <c r="B1324" i="46" l="1"/>
  <c r="B1325" i="46" l="1"/>
  <c r="B1326" i="46" l="1"/>
  <c r="B1327" i="46" l="1"/>
  <c r="B1328" i="46" l="1"/>
  <c r="B1329" i="46" l="1"/>
  <c r="B1330" i="46" l="1"/>
  <c r="B1331" i="46" l="1"/>
  <c r="B1332" i="46" l="1"/>
  <c r="B1333" i="46" l="1"/>
  <c r="B1334" i="46" l="1"/>
  <c r="B1335" i="46" l="1"/>
  <c r="B1336" i="46" l="1"/>
  <c r="B1337" i="46" l="1"/>
  <c r="B1338" i="46" l="1"/>
  <c r="B1339" i="46" l="1"/>
  <c r="B1340" i="46" l="1"/>
  <c r="B1341" i="46" l="1"/>
  <c r="B1342" i="46" l="1"/>
  <c r="B1343" i="46" l="1"/>
  <c r="B1344" i="46" l="1"/>
  <c r="B1345" i="46" l="1"/>
  <c r="B1346" i="46" l="1"/>
  <c r="B1347" i="46" l="1"/>
  <c r="B1348" i="46" l="1"/>
  <c r="B1349" i="46" l="1"/>
  <c r="B1350" i="46" l="1"/>
  <c r="B1351" i="46" l="1"/>
  <c r="B1352" i="46" l="1"/>
  <c r="B1353" i="46" l="1"/>
  <c r="B1354" i="46" l="1"/>
  <c r="B1355" i="46" l="1"/>
  <c r="B1356" i="46" l="1"/>
  <c r="B1357" i="46" l="1"/>
  <c r="B1358" i="46" l="1"/>
  <c r="B1359" i="46" l="1"/>
  <c r="B1360" i="46" l="1"/>
  <c r="B1361" i="46" l="1"/>
  <c r="B1362" i="46" l="1"/>
  <c r="B1363" i="46" l="1"/>
  <c r="B1364" i="46" l="1"/>
  <c r="B1365" i="46" l="1"/>
  <c r="B1366" i="46" l="1"/>
  <c r="B1367" i="46" l="1"/>
  <c r="B1368" i="46" l="1"/>
  <c r="B1369" i="46" l="1"/>
  <c r="B1370" i="46" l="1"/>
  <c r="B1371" i="46" l="1"/>
  <c r="B1372" i="46" l="1"/>
  <c r="B1373" i="46" l="1"/>
  <c r="B1374" i="46" l="1"/>
  <c r="B1375" i="46" l="1"/>
  <c r="B1376" i="46" l="1"/>
  <c r="B1377" i="46" l="1"/>
  <c r="B1378" i="46" l="1"/>
  <c r="B1379" i="46" l="1"/>
  <c r="B1380" i="46" l="1"/>
  <c r="B1381" i="46" l="1"/>
  <c r="B1382" i="46" l="1"/>
  <c r="B1383" i="46" l="1"/>
  <c r="B1384" i="46" l="1"/>
  <c r="B1385" i="46" l="1"/>
  <c r="B1386" i="46" l="1"/>
  <c r="B1387" i="46" l="1"/>
  <c r="B1388" i="46" l="1"/>
  <c r="B1389" i="46" l="1"/>
  <c r="B1390" i="46" l="1"/>
  <c r="B1391" i="46" l="1"/>
  <c r="B1392" i="46" l="1"/>
  <c r="B1393" i="46" l="1"/>
  <c r="B1394" i="46" l="1"/>
  <c r="B1395" i="46" l="1"/>
  <c r="B1396" i="46" l="1"/>
  <c r="B1397" i="46" l="1"/>
  <c r="B1398" i="46" l="1"/>
  <c r="B1399" i="46" l="1"/>
  <c r="B1400" i="46" l="1"/>
  <c r="B1401" i="46" l="1"/>
  <c r="B1402" i="46" l="1"/>
  <c r="B1403" i="46" l="1"/>
  <c r="B1404" i="46" l="1"/>
  <c r="B1405" i="46" l="1"/>
  <c r="B1406" i="46" l="1"/>
  <c r="B1407" i="46" l="1"/>
  <c r="B1408" i="46" l="1"/>
  <c r="B1409" i="46" l="1"/>
  <c r="B1410" i="46" l="1"/>
  <c r="B1411" i="46" l="1"/>
  <c r="B1412" i="46" l="1"/>
  <c r="B1413" i="46" l="1"/>
  <c r="B1414" i="46" l="1"/>
  <c r="B1415" i="46" l="1"/>
  <c r="B1416" i="46" l="1"/>
  <c r="B1417" i="46" l="1"/>
  <c r="B1418" i="46" l="1"/>
  <c r="B1419" i="46" l="1"/>
  <c r="B1420" i="46" l="1"/>
  <c r="B1421" i="46" l="1"/>
  <c r="B1422" i="46" l="1"/>
  <c r="B1423" i="46" l="1"/>
  <c r="B1424" i="46" l="1"/>
  <c r="B1425" i="46" l="1"/>
  <c r="B1426" i="46" l="1"/>
  <c r="B1427" i="46" l="1"/>
  <c r="B1428" i="46" l="1"/>
  <c r="B1429" i="46" l="1"/>
  <c r="B1430" i="46" l="1"/>
  <c r="B1431" i="46" l="1"/>
  <c r="B1432" i="46" l="1"/>
  <c r="B1433" i="46" l="1"/>
  <c r="B1434" i="46" l="1"/>
  <c r="B1435" i="46" l="1"/>
  <c r="B1436" i="46" l="1"/>
  <c r="B1437" i="46" l="1"/>
  <c r="B1438" i="46" l="1"/>
  <c r="B1439" i="46" l="1"/>
  <c r="B1440" i="46" l="1"/>
  <c r="B1441" i="46" l="1"/>
  <c r="B1442" i="46" l="1"/>
  <c r="B1443" i="46" l="1"/>
  <c r="B1444" i="46" l="1"/>
  <c r="B1445" i="46" l="1"/>
  <c r="B1446" i="46" l="1"/>
  <c r="B1447" i="46" l="1"/>
  <c r="B1448" i="46" l="1"/>
  <c r="B1449" i="46" l="1"/>
  <c r="B1450" i="46" l="1"/>
  <c r="B1451" i="46" l="1"/>
  <c r="B1452" i="46" l="1"/>
  <c r="B1453" i="46" l="1"/>
  <c r="B1454" i="46" l="1"/>
  <c r="B1455" i="46" l="1"/>
  <c r="B1456" i="46" l="1"/>
  <c r="B1457" i="46" l="1"/>
  <c r="B1458" i="46" l="1"/>
  <c r="B1459" i="46" l="1"/>
  <c r="B1460" i="46" l="1"/>
  <c r="B1461" i="46" l="1"/>
  <c r="B1462" i="46" l="1"/>
  <c r="B1463" i="46" l="1"/>
  <c r="B1464" i="46" l="1"/>
  <c r="B1465" i="46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<sst xmlns="http://schemas.openxmlformats.org/spreadsheetml/2006/main" count="972" uniqueCount="349">
  <si>
    <r>
      <rPr>
        <sz val="11"/>
        <color rgb="FF000000"/>
        <rFont val="ＭＳ Ｐゴシック"/>
        <family val="3"/>
        <charset val="128"/>
      </rPr>
      <t>販売数（地域別）</t>
    </r>
    <rPh sb="0" eb="2">
      <t>ハンバイ</t>
    </rPh>
    <rPh sb="2" eb="3">
      <t>スウ</t>
    </rPh>
    <rPh sb="4" eb="6">
      <t>チイキ</t>
    </rPh>
    <rPh sb="6" eb="7">
      <t>ベツ</t>
    </rPh>
    <phoneticPr fontId="6"/>
  </si>
  <si>
    <t>本</t>
    <rPh sb="0" eb="1">
      <t>ホン</t>
    </rPh>
    <phoneticPr fontId="6"/>
  </si>
  <si>
    <t>目標</t>
    <rPh sb="0" eb="2">
      <t>モクヒョウ</t>
    </rPh>
    <phoneticPr fontId="6"/>
  </si>
  <si>
    <t>実績</t>
    <rPh sb="0" eb="2">
      <t>ジッセキ</t>
    </rPh>
    <phoneticPr fontId="6"/>
  </si>
  <si>
    <t>目標達成</t>
    <rPh sb="0" eb="2">
      <t>モクヒョウ</t>
    </rPh>
    <rPh sb="2" eb="4">
      <t>タッセイ</t>
    </rPh>
    <phoneticPr fontId="6"/>
  </si>
  <si>
    <r>
      <rPr>
        <sz val="11"/>
        <color theme="1"/>
        <rFont val="ＭＳ Ｐゴシック"/>
        <family val="3"/>
        <charset val="128"/>
      </rPr>
      <t>東京</t>
    </r>
    <rPh sb="0" eb="2">
      <t>トウキョウ</t>
    </rPh>
    <phoneticPr fontId="6"/>
  </si>
  <si>
    <r>
      <rPr>
        <sz val="11"/>
        <color theme="1"/>
        <rFont val="ＭＳ Ｐゴシック"/>
        <family val="3"/>
        <charset val="128"/>
      </rPr>
      <t>大阪</t>
    </r>
    <rPh sb="0" eb="2">
      <t>オオサカ</t>
    </rPh>
    <phoneticPr fontId="6"/>
  </si>
  <si>
    <r>
      <rPr>
        <sz val="11"/>
        <color theme="1"/>
        <rFont val="ＭＳ Ｐゴシック"/>
        <family val="3"/>
        <charset val="128"/>
      </rPr>
      <t>名古屋</t>
    </r>
    <rPh sb="0" eb="3">
      <t>ナゴヤ</t>
    </rPh>
    <phoneticPr fontId="6"/>
  </si>
  <si>
    <r>
      <rPr>
        <sz val="11"/>
        <color theme="1"/>
        <rFont val="ＭＳ Ｐゴシック"/>
        <family val="3"/>
        <charset val="128"/>
      </rPr>
      <t>福岡</t>
    </r>
    <rPh sb="0" eb="2">
      <t>フクオカ</t>
    </rPh>
    <phoneticPr fontId="6"/>
  </si>
  <si>
    <r>
      <rPr>
        <sz val="11"/>
        <color theme="1"/>
        <rFont val="ＭＳ Ｐゴシック"/>
        <family val="3"/>
        <charset val="128"/>
      </rPr>
      <t>札幌</t>
    </r>
    <rPh sb="0" eb="2">
      <t>サッポロ</t>
    </rPh>
    <phoneticPr fontId="6"/>
  </si>
  <si>
    <t>仙台</t>
    <rPh sb="0" eb="2">
      <t>センダイ</t>
    </rPh>
    <phoneticPr fontId="6"/>
  </si>
  <si>
    <t>横浜</t>
    <rPh sb="0" eb="2">
      <t>ヨコハマ</t>
    </rPh>
    <phoneticPr fontId="6"/>
  </si>
  <si>
    <t>より大きい：</t>
    <rPh sb="2" eb="3">
      <t>オオ</t>
    </rPh>
    <phoneticPr fontId="6"/>
  </si>
  <si>
    <t>A</t>
    <phoneticPr fontId="6"/>
  </si>
  <si>
    <t>B</t>
    <phoneticPr fontId="6"/>
  </si>
  <si>
    <t>それ以外：</t>
    <rPh sb="2" eb="4">
      <t>イガイ</t>
    </rPh>
    <phoneticPr fontId="6"/>
  </si>
  <si>
    <t>C</t>
    <phoneticPr fontId="6"/>
  </si>
  <si>
    <t>月間売上（千円）</t>
    <rPh sb="0" eb="2">
      <t>ゲッカン</t>
    </rPh>
    <rPh sb="2" eb="4">
      <t>ウリアゲ</t>
    </rPh>
    <rPh sb="5" eb="6">
      <t>セン</t>
    </rPh>
    <rPh sb="6" eb="7">
      <t>エン</t>
    </rPh>
    <phoneticPr fontId="6"/>
  </si>
  <si>
    <t>人事評価</t>
    <rPh sb="0" eb="2">
      <t>ジンジ</t>
    </rPh>
    <rPh sb="2" eb="4">
      <t>ヒョウカ</t>
    </rPh>
    <phoneticPr fontId="6"/>
  </si>
  <si>
    <t>佐藤</t>
    <rPh sb="0" eb="2">
      <t>サトウ</t>
    </rPh>
    <phoneticPr fontId="6"/>
  </si>
  <si>
    <t>鈴木</t>
    <rPh sb="0" eb="2">
      <t>スズキ</t>
    </rPh>
    <phoneticPr fontId="6"/>
  </si>
  <si>
    <t>高橋</t>
    <rPh sb="0" eb="2">
      <t>タカハシ</t>
    </rPh>
    <phoneticPr fontId="6"/>
  </si>
  <si>
    <t>田中</t>
    <rPh sb="0" eb="2">
      <t>タナカ</t>
    </rPh>
    <phoneticPr fontId="6"/>
  </si>
  <si>
    <t>伊藤</t>
    <rPh sb="0" eb="2">
      <t>イトウ</t>
    </rPh>
    <phoneticPr fontId="6"/>
  </si>
  <si>
    <t>山本</t>
    <rPh sb="0" eb="2">
      <t>ヤマモト</t>
    </rPh>
    <phoneticPr fontId="6"/>
  </si>
  <si>
    <t>渡辺</t>
    <rPh sb="0" eb="2">
      <t>ワタナベ</t>
    </rPh>
    <phoneticPr fontId="6"/>
  </si>
  <si>
    <t>見積書</t>
    <rPh sb="0" eb="2">
      <t>ミツモリ</t>
    </rPh>
    <rPh sb="2" eb="3">
      <t>ショ</t>
    </rPh>
    <phoneticPr fontId="6"/>
  </si>
  <si>
    <r>
      <rPr>
        <sz val="11"/>
        <color theme="1"/>
        <rFont val="ＭＳ Ｐゴシック"/>
        <family val="3"/>
        <charset val="128"/>
      </rPr>
      <t>商品</t>
    </r>
    <rPh sb="0" eb="2">
      <t>ショウヒン</t>
    </rPh>
    <phoneticPr fontId="6"/>
  </si>
  <si>
    <r>
      <rPr>
        <sz val="11"/>
        <color theme="1"/>
        <rFont val="ＭＳ Ｐゴシック"/>
        <family val="3"/>
        <charset val="128"/>
      </rPr>
      <t>単価</t>
    </r>
    <rPh sb="0" eb="2">
      <t>タンカ</t>
    </rPh>
    <phoneticPr fontId="6"/>
  </si>
  <si>
    <r>
      <rPr>
        <sz val="11"/>
        <color theme="1"/>
        <rFont val="ＭＳ Ｐゴシック"/>
        <family val="3"/>
        <charset val="128"/>
      </rPr>
      <t>個数</t>
    </r>
    <rPh sb="0" eb="2">
      <t>コスウ</t>
    </rPh>
    <phoneticPr fontId="6"/>
  </si>
  <si>
    <r>
      <rPr>
        <sz val="11"/>
        <color theme="1"/>
        <rFont val="ＭＳ Ｐゴシック"/>
        <family val="3"/>
        <charset val="128"/>
      </rPr>
      <t>金額</t>
    </r>
    <rPh sb="0" eb="2">
      <t>キンガク</t>
    </rPh>
    <phoneticPr fontId="6"/>
  </si>
  <si>
    <t>ウーロン茶</t>
    <rPh sb="4" eb="5">
      <t>チャ</t>
    </rPh>
    <phoneticPr fontId="6"/>
  </si>
  <si>
    <r>
      <rPr>
        <sz val="11"/>
        <color theme="1"/>
        <rFont val="ＭＳ Ｐゴシック"/>
        <family val="3"/>
        <charset val="128"/>
      </rPr>
      <t>商品単価一覧</t>
    </r>
    <rPh sb="0" eb="2">
      <t>ショウヒン</t>
    </rPh>
    <rPh sb="2" eb="4">
      <t>タンカ</t>
    </rPh>
    <rPh sb="4" eb="6">
      <t>イチラン</t>
    </rPh>
    <phoneticPr fontId="6"/>
  </si>
  <si>
    <t>単価</t>
    <rPh sb="0" eb="2">
      <t>タンカ</t>
    </rPh>
    <phoneticPr fontId="6"/>
  </si>
  <si>
    <t>ビール</t>
    <phoneticPr fontId="6"/>
  </si>
  <si>
    <t>ワイン</t>
    <phoneticPr fontId="2"/>
  </si>
  <si>
    <t>日本酒</t>
    <rPh sb="0" eb="3">
      <t>ニホンシュ</t>
    </rPh>
    <phoneticPr fontId="2"/>
  </si>
  <si>
    <t>焼酎</t>
    <rPh sb="0" eb="2">
      <t>ショウチュウ</t>
    </rPh>
    <phoneticPr fontId="2"/>
  </si>
  <si>
    <t>ジュース</t>
    <phoneticPr fontId="6"/>
  </si>
  <si>
    <t>ビール</t>
  </si>
  <si>
    <t>ワイン</t>
  </si>
  <si>
    <t>ワイン</t>
    <phoneticPr fontId="6"/>
  </si>
  <si>
    <t>売上集計</t>
    <rPh sb="0" eb="2">
      <t>ウリアゲ</t>
    </rPh>
    <rPh sb="2" eb="4">
      <t>シュウケイ</t>
    </rPh>
    <phoneticPr fontId="6"/>
  </si>
  <si>
    <t>商品</t>
    <rPh sb="0" eb="2">
      <t>ショウヒン</t>
    </rPh>
    <phoneticPr fontId="6"/>
  </si>
  <si>
    <t>性別</t>
    <rPh sb="0" eb="2">
      <t>セイベツ</t>
    </rPh>
    <phoneticPr fontId="6"/>
  </si>
  <si>
    <t>販売数</t>
    <rPh sb="0" eb="2">
      <t>ハンバイ</t>
    </rPh>
    <rPh sb="2" eb="3">
      <t>スウ</t>
    </rPh>
    <phoneticPr fontId="6"/>
  </si>
  <si>
    <t>売上</t>
    <rPh sb="0" eb="2">
      <t>ウリアゲ</t>
    </rPh>
    <phoneticPr fontId="6"/>
  </si>
  <si>
    <t>日本酒</t>
    <rPh sb="0" eb="3">
      <t>ニホンシュ</t>
    </rPh>
    <phoneticPr fontId="6"/>
  </si>
  <si>
    <t>男性</t>
    <rPh sb="0" eb="2">
      <t>ダンセイ</t>
    </rPh>
    <phoneticPr fontId="6"/>
  </si>
  <si>
    <t>販売データ</t>
    <rPh sb="0" eb="2">
      <t>ハンバイ</t>
    </rPh>
    <phoneticPr fontId="6"/>
  </si>
  <si>
    <t>女性</t>
    <rPh sb="0" eb="2">
      <t>ジョセイ</t>
    </rPh>
    <phoneticPr fontId="6"/>
  </si>
  <si>
    <t>女性</t>
  </si>
  <si>
    <t>日本酒</t>
    <phoneticPr fontId="6"/>
  </si>
  <si>
    <t>男性</t>
  </si>
  <si>
    <t>購入履歴データ</t>
    <rPh sb="0" eb="2">
      <t>コウニュウ</t>
    </rPh>
    <rPh sb="2" eb="4">
      <t>リレキ</t>
    </rPh>
    <phoneticPr fontId="6"/>
  </si>
  <si>
    <r>
      <t>1</t>
    </r>
    <r>
      <rPr>
        <sz val="11"/>
        <color theme="1"/>
        <rFont val="ＭＳ Ｐゴシック"/>
        <family val="3"/>
        <charset val="128"/>
      </rPr>
      <t>人あたり平均売上</t>
    </r>
    <rPh sb="1" eb="2">
      <t>ニン</t>
    </rPh>
    <rPh sb="5" eb="7">
      <t>ヘイキン</t>
    </rPh>
    <rPh sb="7" eb="9">
      <t>ウリアゲ</t>
    </rPh>
    <phoneticPr fontId="6"/>
  </si>
  <si>
    <t>売上日</t>
    <rPh sb="0" eb="2">
      <t>ウリアゲ</t>
    </rPh>
    <rPh sb="2" eb="3">
      <t>ヒ</t>
    </rPh>
    <phoneticPr fontId="6"/>
  </si>
  <si>
    <t>日本酒</t>
  </si>
  <si>
    <r>
      <rPr>
        <sz val="11"/>
        <color theme="1"/>
        <rFont val="ＭＳ Ｐゴシック"/>
        <family val="3"/>
        <charset val="128"/>
      </rPr>
      <t>販売地域</t>
    </r>
    <rPh sb="0" eb="2">
      <t>ハンバイ</t>
    </rPh>
    <rPh sb="2" eb="4">
      <t>チイキ</t>
    </rPh>
    <phoneticPr fontId="6"/>
  </si>
  <si>
    <t>東京</t>
    <phoneticPr fontId="6"/>
  </si>
  <si>
    <t>大阪</t>
    <phoneticPr fontId="6"/>
  </si>
  <si>
    <t>名古屋</t>
    <phoneticPr fontId="6"/>
  </si>
  <si>
    <t>福岡</t>
  </si>
  <si>
    <t>東京</t>
  </si>
  <si>
    <t>大阪</t>
  </si>
  <si>
    <t>名古屋</t>
  </si>
  <si>
    <t>合計 / 販売数</t>
  </si>
  <si>
    <t>列ラベル</t>
  </si>
  <si>
    <t>行ラベル</t>
  </si>
  <si>
    <t>総計</t>
  </si>
  <si>
    <t>平均売上</t>
    <rPh sb="0" eb="2">
      <t>ヘイキン</t>
    </rPh>
    <rPh sb="2" eb="4">
      <t>ウリアゲ</t>
    </rPh>
    <phoneticPr fontId="6"/>
  </si>
  <si>
    <t>男性</t>
    <rPh sb="0" eb="2">
      <t>ダンセイ</t>
    </rPh>
    <phoneticPr fontId="2"/>
  </si>
  <si>
    <t>女性</t>
    <rPh sb="0" eb="2">
      <t>ジョセイ</t>
    </rPh>
    <phoneticPr fontId="2"/>
  </si>
  <si>
    <t>価格</t>
    <rPh sb="0" eb="2">
      <t>カカク</t>
    </rPh>
    <phoneticPr fontId="6"/>
  </si>
  <si>
    <t>応募者一覧</t>
    <rPh sb="0" eb="3">
      <t>オウボシャ</t>
    </rPh>
    <rPh sb="3" eb="5">
      <t>イチラン</t>
    </rPh>
    <phoneticPr fontId="6"/>
  </si>
  <si>
    <t>合否判定</t>
    <rPh sb="0" eb="2">
      <t>ゴウヒ</t>
    </rPh>
    <rPh sb="2" eb="4">
      <t>ハンテイ</t>
    </rPh>
    <phoneticPr fontId="6"/>
  </si>
  <si>
    <t>経理スキル</t>
    <rPh sb="0" eb="2">
      <t>ケイリ</t>
    </rPh>
    <phoneticPr fontId="6"/>
  </si>
  <si>
    <t>応募者</t>
    <rPh sb="0" eb="3">
      <t>オウボシャ</t>
    </rPh>
    <phoneticPr fontId="6"/>
  </si>
  <si>
    <t>経験年数</t>
    <rPh sb="0" eb="2">
      <t>ケイケン</t>
    </rPh>
    <rPh sb="2" eb="4">
      <t>ネンスウ</t>
    </rPh>
    <phoneticPr fontId="6"/>
  </si>
  <si>
    <t>簿記</t>
    <rPh sb="0" eb="2">
      <t>ボキ</t>
    </rPh>
    <phoneticPr fontId="6"/>
  </si>
  <si>
    <r>
      <rPr>
        <sz val="11"/>
        <color theme="1"/>
        <rFont val="ＭＳ Ｐゴシック"/>
        <family val="2"/>
        <charset val="128"/>
      </rPr>
      <t>経理</t>
    </r>
    <r>
      <rPr>
        <sz val="11"/>
        <color theme="1"/>
        <rFont val="Arial"/>
        <family val="2"/>
      </rPr>
      <t>3</t>
    </r>
    <r>
      <rPr>
        <sz val="11"/>
        <color theme="1"/>
        <rFont val="ＭＳ Ｐゴシック"/>
        <family val="2"/>
        <charset val="128"/>
      </rPr>
      <t>年以上</t>
    </r>
    <r>
      <rPr>
        <sz val="11"/>
        <color rgb="FF0070C0"/>
        <rFont val="ＭＳ Ｐゴシック"/>
        <family val="3"/>
        <charset val="128"/>
      </rPr>
      <t>かつ</t>
    </r>
    <r>
      <rPr>
        <sz val="11"/>
        <color theme="1"/>
        <rFont val="ＭＳ Ｐゴシック"/>
        <family val="2"/>
        <charset val="128"/>
      </rPr>
      <t>簿記あり</t>
    </r>
    <rPh sb="0" eb="2">
      <t>ケイリ</t>
    </rPh>
    <rPh sb="3" eb="4">
      <t>ネン</t>
    </rPh>
    <rPh sb="4" eb="6">
      <t>イジョウ</t>
    </rPh>
    <rPh sb="8" eb="10">
      <t>ボキ</t>
    </rPh>
    <phoneticPr fontId="6"/>
  </si>
  <si>
    <r>
      <rPr>
        <sz val="11"/>
        <color theme="1"/>
        <rFont val="ＭＳ Ｐゴシック"/>
        <family val="2"/>
        <charset val="128"/>
      </rPr>
      <t>経理</t>
    </r>
    <r>
      <rPr>
        <sz val="11"/>
        <color theme="1"/>
        <rFont val="Arial"/>
        <family val="2"/>
      </rPr>
      <t>3</t>
    </r>
    <r>
      <rPr>
        <sz val="11"/>
        <color theme="1"/>
        <rFont val="ＭＳ Ｐゴシック"/>
        <family val="2"/>
        <charset val="128"/>
      </rPr>
      <t>年以上</t>
    </r>
    <r>
      <rPr>
        <sz val="11"/>
        <color rgb="FF0070C0"/>
        <rFont val="ＭＳ Ｐゴシック"/>
        <family val="3"/>
        <charset val="128"/>
      </rPr>
      <t>または</t>
    </r>
    <r>
      <rPr>
        <sz val="11"/>
        <color theme="1"/>
        <rFont val="ＭＳ Ｐゴシック"/>
        <family val="2"/>
        <charset val="128"/>
      </rPr>
      <t>簿記あり</t>
    </r>
    <rPh sb="0" eb="2">
      <t>ケイリ</t>
    </rPh>
    <rPh sb="3" eb="4">
      <t>ネン</t>
    </rPh>
    <rPh sb="4" eb="6">
      <t>イジョウ</t>
    </rPh>
    <rPh sb="9" eb="11">
      <t>ボキ</t>
    </rPh>
    <phoneticPr fontId="6"/>
  </si>
  <si>
    <t>なし</t>
    <phoneticPr fontId="6"/>
  </si>
  <si>
    <t>あり</t>
    <phoneticPr fontId="6"/>
  </si>
  <si>
    <t>D</t>
    <phoneticPr fontId="6"/>
  </si>
  <si>
    <t>E</t>
    <phoneticPr fontId="6"/>
  </si>
  <si>
    <t>F</t>
    <phoneticPr fontId="6"/>
  </si>
  <si>
    <r>
      <t xml:space="preserve">(1) </t>
    </r>
    <r>
      <rPr>
        <sz val="11"/>
        <color theme="1"/>
        <rFont val="ＭＳ Ｐゴシック"/>
        <family val="2"/>
        <charset val="128"/>
      </rPr>
      <t>経理</t>
    </r>
    <r>
      <rPr>
        <sz val="11"/>
        <color theme="1"/>
        <rFont val="Arial"/>
        <family val="2"/>
      </rPr>
      <t>3</t>
    </r>
    <r>
      <rPr>
        <sz val="11"/>
        <color theme="1"/>
        <rFont val="ＭＳ Ｐゴシック"/>
        <family val="2"/>
        <charset val="128"/>
      </rPr>
      <t>年以上</t>
    </r>
    <r>
      <rPr>
        <sz val="11"/>
        <color rgb="FF0070C0"/>
        <rFont val="ＭＳ Ｐゴシック"/>
        <family val="3"/>
        <charset val="128"/>
      </rPr>
      <t>または</t>
    </r>
    <r>
      <rPr>
        <sz val="11"/>
        <color theme="1"/>
        <rFont val="ＭＳ Ｐゴシック"/>
        <family val="2"/>
        <charset val="128"/>
      </rPr>
      <t>簿記あり</t>
    </r>
    <rPh sb="4" eb="6">
      <t>ケイリ</t>
    </rPh>
    <rPh sb="7" eb="8">
      <t>ネン</t>
    </rPh>
    <rPh sb="8" eb="10">
      <t>イジョウ</t>
    </rPh>
    <rPh sb="13" eb="15">
      <t>ボキ</t>
    </rPh>
    <phoneticPr fontId="6"/>
  </si>
  <si>
    <t>英語</t>
    <rPh sb="0" eb="2">
      <t>エイゴ</t>
    </rPh>
    <phoneticPr fontId="6"/>
  </si>
  <si>
    <t>かつ、</t>
    <phoneticPr fontId="6"/>
  </si>
  <si>
    <t>海外在住年数</t>
    <rPh sb="0" eb="2">
      <t>カイガイ</t>
    </rPh>
    <rPh sb="2" eb="4">
      <t>ザイジュウ</t>
    </rPh>
    <rPh sb="4" eb="6">
      <t>ネンスウ</t>
    </rPh>
    <phoneticPr fontId="6"/>
  </si>
  <si>
    <r>
      <t xml:space="preserve">(2) </t>
    </r>
    <r>
      <rPr>
        <sz val="11"/>
        <color theme="1"/>
        <rFont val="ＭＳ Ｐゴシック"/>
        <family val="2"/>
        <charset val="128"/>
      </rPr>
      <t>海外</t>
    </r>
    <r>
      <rPr>
        <sz val="11"/>
        <color theme="1"/>
        <rFont val="Arial"/>
        <family val="2"/>
      </rPr>
      <t>3</t>
    </r>
    <r>
      <rPr>
        <sz val="11"/>
        <color theme="1"/>
        <rFont val="ＭＳ Ｐゴシック"/>
        <family val="2"/>
        <charset val="128"/>
      </rPr>
      <t>年以上</t>
    </r>
    <rPh sb="4" eb="6">
      <t>カイガイ</t>
    </rPh>
    <rPh sb="7" eb="10">
      <t>ネンイジョウ</t>
    </rPh>
    <phoneticPr fontId="6"/>
  </si>
  <si>
    <t>営業成績</t>
    <rPh sb="0" eb="2">
      <t>エイギョウ</t>
    </rPh>
    <rPh sb="2" eb="4">
      <t>セイセキ</t>
    </rPh>
    <phoneticPr fontId="6"/>
  </si>
  <si>
    <t>昨年</t>
    <rPh sb="0" eb="2">
      <t>サクネン</t>
    </rPh>
    <phoneticPr fontId="6"/>
  </si>
  <si>
    <t>今年</t>
    <rPh sb="0" eb="2">
      <t>コトシ</t>
    </rPh>
    <phoneticPr fontId="6"/>
  </si>
  <si>
    <t>営業</t>
    <rPh sb="0" eb="2">
      <t>エイギョウ</t>
    </rPh>
    <phoneticPr fontId="6"/>
  </si>
  <si>
    <t>昨年比</t>
    <rPh sb="0" eb="2">
      <t>サクネン</t>
    </rPh>
    <rPh sb="2" eb="3">
      <t>ヒ</t>
    </rPh>
    <phoneticPr fontId="6"/>
  </si>
  <si>
    <t>今年入社</t>
    <rPh sb="0" eb="2">
      <t>コトシ</t>
    </rPh>
    <rPh sb="2" eb="4">
      <t>ニュウシャ</t>
    </rPh>
    <phoneticPr fontId="6"/>
  </si>
  <si>
    <t>F</t>
  </si>
  <si>
    <r>
      <t>ABC</t>
    </r>
    <r>
      <rPr>
        <sz val="11"/>
        <color theme="1"/>
        <rFont val="ＭＳ Ｐゴシック"/>
        <family val="3"/>
        <charset val="128"/>
      </rPr>
      <t>レストラン</t>
    </r>
    <phoneticPr fontId="6"/>
  </si>
  <si>
    <r>
      <rPr>
        <sz val="11"/>
        <color theme="1"/>
        <rFont val="ＭＳ Ｐゴシック"/>
        <family val="3"/>
        <charset val="128"/>
      </rPr>
      <t>金額</t>
    </r>
    <rPh sb="0" eb="2">
      <t>キンガク</t>
    </rPh>
    <phoneticPr fontId="2"/>
  </si>
  <si>
    <r>
      <rPr>
        <sz val="11"/>
        <color theme="1"/>
        <rFont val="ＭＳ Ｐゴシック"/>
        <family val="3"/>
        <charset val="128"/>
      </rPr>
      <t>税抜</t>
    </r>
    <rPh sb="0" eb="1">
      <t>ゼイ</t>
    </rPh>
    <rPh sb="1" eb="2">
      <t>ヌ</t>
    </rPh>
    <phoneticPr fontId="6"/>
  </si>
  <si>
    <r>
      <rPr>
        <sz val="11"/>
        <color theme="1"/>
        <rFont val="ＭＳ Ｐゴシック"/>
        <family val="3"/>
        <charset val="128"/>
      </rPr>
      <t>消費税</t>
    </r>
    <rPh sb="0" eb="3">
      <t>ショウヒゼイ</t>
    </rPh>
    <phoneticPr fontId="6"/>
  </si>
  <si>
    <r>
      <rPr>
        <sz val="11"/>
        <color theme="1"/>
        <rFont val="ＭＳ Ｐゴシック"/>
        <family val="3"/>
        <charset val="128"/>
      </rPr>
      <t>税込</t>
    </r>
    <rPh sb="0" eb="2">
      <t>ゼイコミ</t>
    </rPh>
    <phoneticPr fontId="6"/>
  </si>
  <si>
    <r>
      <rPr>
        <sz val="11"/>
        <color theme="1"/>
        <rFont val="ＭＳ Ｐゴシック"/>
        <family val="3"/>
        <charset val="128"/>
      </rPr>
      <t>合計</t>
    </r>
    <rPh sb="0" eb="2">
      <t>ゴウケイ</t>
    </rPh>
    <phoneticPr fontId="6"/>
  </si>
  <si>
    <t>営業マン</t>
    <rPh sb="0" eb="2">
      <t>エイギョウ</t>
    </rPh>
    <phoneticPr fontId="6"/>
  </si>
  <si>
    <t>賞与（円）</t>
    <rPh sb="0" eb="2">
      <t>ショウヨ</t>
    </rPh>
    <rPh sb="3" eb="4">
      <t>エン</t>
    </rPh>
    <phoneticPr fontId="6"/>
  </si>
  <si>
    <t>個～</t>
    <rPh sb="0" eb="1">
      <t>コ</t>
    </rPh>
    <phoneticPr fontId="6"/>
  </si>
  <si>
    <t>G</t>
    <phoneticPr fontId="6"/>
  </si>
  <si>
    <t>最大</t>
    <rPh sb="0" eb="2">
      <t>サイダイ</t>
    </rPh>
    <phoneticPr fontId="6"/>
  </si>
  <si>
    <t>H</t>
    <phoneticPr fontId="6"/>
  </si>
  <si>
    <t>I</t>
    <phoneticPr fontId="6"/>
  </si>
  <si>
    <t>最小</t>
    <rPh sb="0" eb="2">
      <t>サイショウ</t>
    </rPh>
    <phoneticPr fontId="6"/>
  </si>
  <si>
    <t>J</t>
    <phoneticPr fontId="6"/>
  </si>
  <si>
    <t>K</t>
    <phoneticPr fontId="6"/>
  </si>
  <si>
    <t>L</t>
    <phoneticPr fontId="6"/>
  </si>
  <si>
    <t>M</t>
    <phoneticPr fontId="6"/>
  </si>
  <si>
    <t>N</t>
    <phoneticPr fontId="6"/>
  </si>
  <si>
    <t>O</t>
    <phoneticPr fontId="6"/>
  </si>
  <si>
    <t>順位</t>
    <rPh sb="0" eb="2">
      <t>ジュンイ</t>
    </rPh>
    <phoneticPr fontId="6"/>
  </si>
  <si>
    <t>位～</t>
    <rPh sb="0" eb="1">
      <t>クライ</t>
    </rPh>
    <phoneticPr fontId="6"/>
  </si>
  <si>
    <t>ビール価格</t>
    <rPh sb="3" eb="5">
      <t>カカク</t>
    </rPh>
    <phoneticPr fontId="6"/>
  </si>
  <si>
    <t>居酒屋</t>
    <rPh sb="0" eb="3">
      <t>イザカヤ</t>
    </rPh>
    <phoneticPr fontId="6"/>
  </si>
  <si>
    <t>円</t>
    <rPh sb="0" eb="1">
      <t>エン</t>
    </rPh>
    <phoneticPr fontId="6"/>
  </si>
  <si>
    <t>価格一覧（販売先別）</t>
    <rPh sb="0" eb="2">
      <t>カカク</t>
    </rPh>
    <rPh sb="2" eb="4">
      <t>イチラン</t>
    </rPh>
    <rPh sb="5" eb="8">
      <t>ハンバイサキ</t>
    </rPh>
    <rPh sb="8" eb="9">
      <t>ベツ</t>
    </rPh>
    <phoneticPr fontId="6"/>
  </si>
  <si>
    <t>スーパー</t>
  </si>
  <si>
    <t>レストラン</t>
  </si>
  <si>
    <t>行目</t>
    <rPh sb="0" eb="1">
      <t>ギョウ</t>
    </rPh>
    <rPh sb="1" eb="2">
      <t>メ</t>
    </rPh>
    <phoneticPr fontId="6"/>
  </si>
  <si>
    <t>列目</t>
    <rPh sb="0" eb="1">
      <t>レツ</t>
    </rPh>
    <rPh sb="1" eb="2">
      <t>メ</t>
    </rPh>
    <phoneticPr fontId="6"/>
  </si>
  <si>
    <t>商品単価（販売先別）</t>
    <rPh sb="0" eb="2">
      <t>ショウヒン</t>
    </rPh>
    <rPh sb="2" eb="4">
      <t>タンカ</t>
    </rPh>
    <rPh sb="5" eb="7">
      <t>ハンバイ</t>
    </rPh>
    <rPh sb="7" eb="8">
      <t>サキ</t>
    </rPh>
    <rPh sb="8" eb="9">
      <t>ベツ</t>
    </rPh>
    <phoneticPr fontId="6"/>
  </si>
  <si>
    <t>スーパー</t>
    <phoneticPr fontId="6"/>
  </si>
  <si>
    <t>レストラン</t>
    <phoneticPr fontId="6"/>
  </si>
  <si>
    <r>
      <rPr>
        <sz val="11"/>
        <color rgb="FF000000"/>
        <rFont val="ＭＳ Ｐゴシック"/>
        <family val="3"/>
        <charset val="128"/>
      </rPr>
      <t>テスト結果</t>
    </r>
    <rPh sb="3" eb="5">
      <t>ケッカ</t>
    </rPh>
    <phoneticPr fontId="2"/>
  </si>
  <si>
    <r>
      <rPr>
        <sz val="11"/>
        <color rgb="FF000000"/>
        <rFont val="ＭＳ Ｐゴシック"/>
        <family val="3"/>
        <charset val="128"/>
      </rPr>
      <t>集計結果</t>
    </r>
    <rPh sb="0" eb="2">
      <t>シュウケイ</t>
    </rPh>
    <rPh sb="2" eb="4">
      <t>ケッカ</t>
    </rPh>
    <phoneticPr fontId="2"/>
  </si>
  <si>
    <t>受験予定者</t>
    <rPh sb="0" eb="2">
      <t>ジュケン</t>
    </rPh>
    <rPh sb="2" eb="5">
      <t>ヨテイシャ</t>
    </rPh>
    <phoneticPr fontId="6"/>
  </si>
  <si>
    <r>
      <rPr>
        <sz val="11"/>
        <color rgb="FF000000"/>
        <rFont val="ＭＳ Ｐゴシック"/>
        <family val="3"/>
        <charset val="128"/>
      </rPr>
      <t>点数</t>
    </r>
    <rPh sb="0" eb="2">
      <t>テンスウ</t>
    </rPh>
    <phoneticPr fontId="2"/>
  </si>
  <si>
    <t>受験予定者の数</t>
    <rPh sb="0" eb="2">
      <t>ジュケン</t>
    </rPh>
    <rPh sb="2" eb="5">
      <t>ヨテイシャ</t>
    </rPh>
    <rPh sb="6" eb="7">
      <t>カズ</t>
    </rPh>
    <phoneticPr fontId="2"/>
  </si>
  <si>
    <r>
      <rPr>
        <sz val="11"/>
        <color theme="1"/>
        <rFont val="ＭＳ Ｐゴシック"/>
        <family val="3"/>
        <charset val="128"/>
      </rPr>
      <t>佐藤</t>
    </r>
    <rPh sb="0" eb="2">
      <t>サトウ</t>
    </rPh>
    <phoneticPr fontId="2"/>
  </si>
  <si>
    <t>受験した数</t>
    <rPh sb="0" eb="2">
      <t>ジュケン</t>
    </rPh>
    <rPh sb="4" eb="5">
      <t>スウ</t>
    </rPh>
    <phoneticPr fontId="2"/>
  </si>
  <si>
    <r>
      <rPr>
        <sz val="11"/>
        <color theme="1"/>
        <rFont val="ＭＳ Ｐゴシック"/>
        <family val="3"/>
        <charset val="128"/>
      </rPr>
      <t>鈴木</t>
    </r>
    <rPh sb="0" eb="2">
      <t>スズキ</t>
    </rPh>
    <phoneticPr fontId="2"/>
  </si>
  <si>
    <r>
      <rPr>
        <sz val="11"/>
        <color theme="1"/>
        <rFont val="ＭＳ Ｐゴシック"/>
        <family val="3"/>
        <charset val="128"/>
      </rPr>
      <t>高橋</t>
    </r>
    <rPh sb="0" eb="2">
      <t>タカハシ</t>
    </rPh>
    <phoneticPr fontId="2"/>
  </si>
  <si>
    <r>
      <rPr>
        <sz val="11"/>
        <color theme="1"/>
        <rFont val="ＭＳ Ｐゴシック"/>
        <family val="3"/>
        <charset val="128"/>
      </rPr>
      <t>田中</t>
    </r>
    <rPh sb="0" eb="2">
      <t>タナカ</t>
    </rPh>
    <phoneticPr fontId="2"/>
  </si>
  <si>
    <r>
      <rPr>
        <sz val="11"/>
        <color theme="1"/>
        <rFont val="ＭＳ Ｐゴシック"/>
        <family val="3"/>
        <charset val="128"/>
      </rPr>
      <t>伊藤</t>
    </r>
    <rPh sb="0" eb="2">
      <t>イトウ</t>
    </rPh>
    <phoneticPr fontId="2"/>
  </si>
  <si>
    <t>渡辺</t>
    <rPh sb="0" eb="2">
      <t>ワタナベ</t>
    </rPh>
    <phoneticPr fontId="2"/>
  </si>
  <si>
    <t>未受験</t>
    <rPh sb="0" eb="1">
      <t>ミ</t>
    </rPh>
    <rPh sb="1" eb="3">
      <t>ジュケン</t>
    </rPh>
    <phoneticPr fontId="2"/>
  </si>
  <si>
    <t>データ未入力</t>
    <rPh sb="3" eb="6">
      <t>ミニュウリョク</t>
    </rPh>
    <phoneticPr fontId="6"/>
  </si>
  <si>
    <r>
      <rPr>
        <sz val="11"/>
        <color rgb="FF000000"/>
        <rFont val="ＭＳ Ｐゴシック"/>
        <family val="3"/>
        <charset val="128"/>
      </rPr>
      <t>千代田区はいくつある？</t>
    </r>
    <rPh sb="0" eb="4">
      <t>チヨダク</t>
    </rPh>
    <phoneticPr fontId="2"/>
  </si>
  <si>
    <r>
      <rPr>
        <sz val="11"/>
        <color rgb="FF000000"/>
        <rFont val="ＭＳ Ｐゴシック"/>
        <family val="3"/>
        <charset val="128"/>
      </rPr>
      <t>東京都千代田区丸の内</t>
    </r>
    <rPh sb="0" eb="3">
      <t>トウキョウト</t>
    </rPh>
    <rPh sb="3" eb="7">
      <t>チヨダク</t>
    </rPh>
    <rPh sb="7" eb="8">
      <t>マル</t>
    </rPh>
    <rPh sb="9" eb="10">
      <t>ウチ</t>
    </rPh>
    <phoneticPr fontId="2"/>
  </si>
  <si>
    <r>
      <rPr>
        <sz val="11"/>
        <color rgb="FF000000"/>
        <rFont val="ＭＳ Ｐゴシック"/>
        <family val="3"/>
        <charset val="128"/>
      </rPr>
      <t>東京都中央区晴海</t>
    </r>
    <phoneticPr fontId="2"/>
  </si>
  <si>
    <r>
      <rPr>
        <sz val="11"/>
        <color rgb="FF000000"/>
        <rFont val="ＭＳ Ｐゴシック"/>
        <family val="3"/>
        <charset val="128"/>
      </rPr>
      <t>東京都港区北青山</t>
    </r>
    <rPh sb="0" eb="3">
      <t>トウキョウト</t>
    </rPh>
    <rPh sb="3" eb="5">
      <t>ミナトク</t>
    </rPh>
    <rPh sb="5" eb="8">
      <t>キタアオヤマ</t>
    </rPh>
    <phoneticPr fontId="2"/>
  </si>
  <si>
    <r>
      <rPr>
        <sz val="11"/>
        <color rgb="FF000000"/>
        <rFont val="ＭＳ Ｐゴシック"/>
        <family val="3"/>
        <charset val="128"/>
      </rPr>
      <t>東京都千代田区内幸町</t>
    </r>
    <phoneticPr fontId="2"/>
  </si>
  <si>
    <r>
      <rPr>
        <sz val="11"/>
        <color rgb="FF000000"/>
        <rFont val="ＭＳ Ｐゴシック"/>
        <family val="3"/>
        <charset val="128"/>
      </rPr>
      <t>東京都中央区日本橋</t>
    </r>
    <phoneticPr fontId="2"/>
  </si>
  <si>
    <r>
      <rPr>
        <sz val="11"/>
        <color rgb="FF000000"/>
        <rFont val="ＭＳ Ｐゴシック"/>
        <family val="3"/>
        <charset val="128"/>
      </rPr>
      <t>大阪府大阪市中央区</t>
    </r>
    <rPh sb="0" eb="3">
      <t>オオサカフ</t>
    </rPh>
    <rPh sb="3" eb="6">
      <t>オオサカシ</t>
    </rPh>
    <rPh sb="6" eb="9">
      <t>チュウオウク</t>
    </rPh>
    <phoneticPr fontId="2"/>
  </si>
  <si>
    <r>
      <rPr>
        <sz val="11"/>
        <color rgb="FF000000"/>
        <rFont val="ＭＳ Ｐゴシック"/>
        <family val="3"/>
        <charset val="128"/>
      </rPr>
      <t>福岡県福岡市中央区</t>
    </r>
    <rPh sb="0" eb="3">
      <t>フクオカケン</t>
    </rPh>
    <rPh sb="3" eb="6">
      <t>フクオカシ</t>
    </rPh>
    <rPh sb="6" eb="9">
      <t>チュウオウク</t>
    </rPh>
    <phoneticPr fontId="2"/>
  </si>
  <si>
    <t>SUM関数を使用</t>
    <phoneticPr fontId="6"/>
  </si>
  <si>
    <t>都道府県</t>
    <rPh sb="0" eb="4">
      <t>トドウフケン</t>
    </rPh>
    <phoneticPr fontId="6"/>
  </si>
  <si>
    <t>東京都</t>
  </si>
  <si>
    <t>神奈川県</t>
  </si>
  <si>
    <t>埼玉県</t>
  </si>
  <si>
    <t>大阪府</t>
  </si>
  <si>
    <t>京都府</t>
  </si>
  <si>
    <t>兵庫県</t>
  </si>
  <si>
    <t>合計</t>
    <rPh sb="0" eb="2">
      <t>ゴウケイ</t>
    </rPh>
    <phoneticPr fontId="6"/>
  </si>
  <si>
    <t>その他</t>
    <rPh sb="2" eb="3">
      <t>ホカ</t>
    </rPh>
    <phoneticPr fontId="6"/>
  </si>
  <si>
    <t>小計（関東）</t>
    <rPh sb="0" eb="2">
      <t>ショウケイ</t>
    </rPh>
    <rPh sb="3" eb="5">
      <t>カントウ</t>
    </rPh>
    <phoneticPr fontId="6"/>
  </si>
  <si>
    <t>※重複</t>
    <phoneticPr fontId="6"/>
  </si>
  <si>
    <t>小計（近畿）</t>
    <rPh sb="0" eb="2">
      <t>ショウケイ</t>
    </rPh>
    <rPh sb="3" eb="5">
      <t>キンキ</t>
    </rPh>
    <phoneticPr fontId="6"/>
  </si>
  <si>
    <t>合計販売数</t>
    <rPh sb="0" eb="2">
      <t>ゴウケイ</t>
    </rPh>
    <rPh sb="2" eb="4">
      <t>ハンバイ</t>
    </rPh>
    <rPh sb="4" eb="5">
      <t>スウ</t>
    </rPh>
    <phoneticPr fontId="6"/>
  </si>
  <si>
    <t>月</t>
    <rPh sb="0" eb="1">
      <t>ツキ</t>
    </rPh>
    <phoneticPr fontId="6"/>
  </si>
  <si>
    <r>
      <rPr>
        <sz val="11"/>
        <color theme="1"/>
        <rFont val="ＭＳ Ｐゴシック"/>
        <family val="2"/>
        <charset val="128"/>
      </rPr>
      <t>商品</t>
    </r>
    <r>
      <rPr>
        <sz val="11"/>
        <color theme="1"/>
        <rFont val="Arial"/>
        <family val="2"/>
      </rPr>
      <t>A</t>
    </r>
    <rPh sb="0" eb="2">
      <t>ショウヒン</t>
    </rPh>
    <phoneticPr fontId="6"/>
  </si>
  <si>
    <r>
      <rPr>
        <sz val="11"/>
        <color theme="1"/>
        <rFont val="ＭＳ Ｐゴシック"/>
        <family val="2"/>
        <charset val="128"/>
      </rPr>
      <t>商品</t>
    </r>
    <r>
      <rPr>
        <sz val="11"/>
        <color theme="1"/>
        <rFont val="Arial"/>
        <family val="2"/>
      </rPr>
      <t>B</t>
    </r>
    <rPh sb="0" eb="2">
      <t>ショウヒン</t>
    </rPh>
    <phoneticPr fontId="6"/>
  </si>
  <si>
    <r>
      <rPr>
        <sz val="11"/>
        <color theme="1"/>
        <rFont val="ＭＳ Ｐゴシック"/>
        <family val="2"/>
        <charset val="128"/>
      </rPr>
      <t>商品</t>
    </r>
    <r>
      <rPr>
        <sz val="11"/>
        <color theme="1"/>
        <rFont val="Arial"/>
        <family val="2"/>
      </rPr>
      <t>A+B</t>
    </r>
    <rPh sb="0" eb="2">
      <t>ショウヒン</t>
    </rPh>
    <phoneticPr fontId="6"/>
  </si>
  <si>
    <t>何月から</t>
    <rPh sb="0" eb="2">
      <t>ナンガツ</t>
    </rPh>
    <phoneticPr fontId="6"/>
  </si>
  <si>
    <t>何月まで</t>
    <rPh sb="0" eb="2">
      <t>ナンガツ</t>
    </rPh>
    <phoneticPr fontId="6"/>
  </si>
  <si>
    <r>
      <t>OFFSET</t>
    </r>
    <r>
      <rPr>
        <sz val="11"/>
        <color theme="1"/>
        <rFont val="ＭＳ Ｐゴシック"/>
        <family val="2"/>
        <charset val="128"/>
      </rPr>
      <t>関数</t>
    </r>
    <rPh sb="6" eb="8">
      <t>カンスウ</t>
    </rPh>
    <phoneticPr fontId="6"/>
  </si>
  <si>
    <t>起点セル</t>
    <rPh sb="0" eb="2">
      <t>キテン</t>
    </rPh>
    <phoneticPr fontId="6"/>
  </si>
  <si>
    <t>何行、下へ移動？</t>
    <rPh sb="0" eb="2">
      <t>ナンギョウ</t>
    </rPh>
    <rPh sb="3" eb="4">
      <t>シタ</t>
    </rPh>
    <rPh sb="5" eb="7">
      <t>イドウ</t>
    </rPh>
    <phoneticPr fontId="6"/>
  </si>
  <si>
    <r>
      <rPr>
        <sz val="11"/>
        <color rgb="FFFF0000"/>
        <rFont val="ＭＳ Ｐゴシック"/>
        <family val="2"/>
        <charset val="128"/>
      </rPr>
      <t xml:space="preserve">※ </t>
    </r>
    <r>
      <rPr>
        <sz val="11"/>
        <color rgb="FFFF0000"/>
        <rFont val="Arial"/>
        <family val="2"/>
      </rPr>
      <t>1</t>
    </r>
    <r>
      <rPr>
        <sz val="11"/>
        <color rgb="FFFF0000"/>
        <rFont val="ＭＳ Ｐゴシック"/>
        <family val="2"/>
        <charset val="128"/>
      </rPr>
      <t>月→</t>
    </r>
    <r>
      <rPr>
        <sz val="11"/>
        <color rgb="FFFF0000"/>
        <rFont val="Arial"/>
        <family val="2"/>
      </rPr>
      <t>3</t>
    </r>
    <r>
      <rPr>
        <sz val="11"/>
        <color rgb="FFFF0000"/>
        <rFont val="ＭＳ Ｐゴシック"/>
        <family val="2"/>
        <charset val="128"/>
      </rPr>
      <t>月へ移動（</t>
    </r>
    <r>
      <rPr>
        <sz val="11"/>
        <color rgb="FFFF0000"/>
        <rFont val="Arial"/>
        <family val="2"/>
      </rPr>
      <t>2</t>
    </r>
    <r>
      <rPr>
        <sz val="11"/>
        <color rgb="FFFF0000"/>
        <rFont val="ＭＳ Ｐゴシック"/>
        <family val="2"/>
        <charset val="128"/>
      </rPr>
      <t>ヶ月分）</t>
    </r>
    <rPh sb="3" eb="4">
      <t>ガツ</t>
    </rPh>
    <rPh sb="6" eb="7">
      <t>ツキ</t>
    </rPh>
    <rPh sb="8" eb="10">
      <t>イドウ</t>
    </rPh>
    <rPh sb="13" eb="14">
      <t>ゲツ</t>
    </rPh>
    <rPh sb="14" eb="15">
      <t>ブン</t>
    </rPh>
    <phoneticPr fontId="6"/>
  </si>
  <si>
    <t>何列、右へ移動？</t>
    <rPh sb="0" eb="1">
      <t>ナン</t>
    </rPh>
    <rPh sb="1" eb="2">
      <t>レツ</t>
    </rPh>
    <rPh sb="3" eb="4">
      <t>ミギ</t>
    </rPh>
    <rPh sb="5" eb="7">
      <t>イドウ</t>
    </rPh>
    <phoneticPr fontId="6"/>
  </si>
  <si>
    <t>範囲指定</t>
    <rPh sb="0" eb="2">
      <t>ハンイ</t>
    </rPh>
    <rPh sb="2" eb="4">
      <t>シテイ</t>
    </rPh>
    <phoneticPr fontId="6"/>
  </si>
  <si>
    <t>何行、下まで？</t>
    <rPh sb="0" eb="2">
      <t>ナンギョウ</t>
    </rPh>
    <rPh sb="3" eb="4">
      <t>シタ</t>
    </rPh>
    <phoneticPr fontId="6"/>
  </si>
  <si>
    <r>
      <rPr>
        <sz val="11"/>
        <color rgb="FFFF0000"/>
        <rFont val="ＭＳ Ｐゴシック"/>
        <family val="2"/>
        <charset val="128"/>
      </rPr>
      <t xml:space="preserve">※ </t>
    </r>
    <r>
      <rPr>
        <sz val="11"/>
        <color rgb="FFFF0000"/>
        <rFont val="Arial"/>
        <family val="2"/>
      </rPr>
      <t>3</t>
    </r>
    <r>
      <rPr>
        <sz val="11"/>
        <color rgb="FFFF0000"/>
        <rFont val="ＭＳ Ｐゴシック"/>
        <family val="2"/>
        <charset val="128"/>
      </rPr>
      <t>月→</t>
    </r>
    <r>
      <rPr>
        <sz val="11"/>
        <color rgb="FFFF0000"/>
        <rFont val="Arial"/>
        <family val="2"/>
      </rPr>
      <t>6</t>
    </r>
    <r>
      <rPr>
        <sz val="11"/>
        <color rgb="FFFF0000"/>
        <rFont val="ＭＳ Ｐゴシック"/>
        <family val="2"/>
        <charset val="128"/>
      </rPr>
      <t>月まで（</t>
    </r>
    <r>
      <rPr>
        <sz val="11"/>
        <color rgb="FFFF0000"/>
        <rFont val="Arial"/>
        <family val="2"/>
      </rPr>
      <t>4</t>
    </r>
    <r>
      <rPr>
        <sz val="11"/>
        <color rgb="FFFF0000"/>
        <rFont val="ＭＳ Ｐゴシック"/>
        <family val="2"/>
        <charset val="128"/>
      </rPr>
      <t>ヶ月分）</t>
    </r>
    <rPh sb="3" eb="4">
      <t>ガツ</t>
    </rPh>
    <rPh sb="6" eb="7">
      <t>ガツ</t>
    </rPh>
    <rPh sb="12" eb="13">
      <t>ゲツ</t>
    </rPh>
    <rPh sb="13" eb="14">
      <t>ブン</t>
    </rPh>
    <phoneticPr fontId="6"/>
  </si>
  <si>
    <t>何列、右まで？</t>
    <rPh sb="0" eb="1">
      <t>ナン</t>
    </rPh>
    <rPh sb="1" eb="2">
      <t>レツ</t>
    </rPh>
    <rPh sb="3" eb="4">
      <t>ミギ</t>
    </rPh>
    <phoneticPr fontId="6"/>
  </si>
  <si>
    <r>
      <rPr>
        <sz val="11"/>
        <color rgb="FF000000"/>
        <rFont val="ＭＳ Ｐゴシック"/>
        <family val="3"/>
        <charset val="128"/>
      </rPr>
      <t>売上データ</t>
    </r>
    <rPh sb="0" eb="2">
      <t>ウリアゲ</t>
    </rPh>
    <phoneticPr fontId="6"/>
  </si>
  <si>
    <r>
      <rPr>
        <sz val="11"/>
        <color rgb="FF000000"/>
        <rFont val="ＭＳ Ｐゴシック"/>
        <family val="3"/>
        <charset val="128"/>
      </rPr>
      <t>商品</t>
    </r>
    <rPh sb="0" eb="2">
      <t>ショウヒン</t>
    </rPh>
    <phoneticPr fontId="6"/>
  </si>
  <si>
    <r>
      <rPr>
        <sz val="11"/>
        <color rgb="FF000000"/>
        <rFont val="ＭＳ Ｐゴシック"/>
        <family val="3"/>
        <charset val="128"/>
      </rPr>
      <t>単価</t>
    </r>
    <rPh sb="0" eb="2">
      <t>タンカ</t>
    </rPh>
    <phoneticPr fontId="6"/>
  </si>
  <si>
    <r>
      <rPr>
        <sz val="11"/>
        <color rgb="FF000000"/>
        <rFont val="ＭＳ Ｐゴシック"/>
        <family val="3"/>
        <charset val="128"/>
      </rPr>
      <t>数量</t>
    </r>
    <rPh sb="0" eb="2">
      <t>スウリョウ</t>
    </rPh>
    <phoneticPr fontId="6"/>
  </si>
  <si>
    <r>
      <rPr>
        <sz val="11"/>
        <color rgb="FF000000"/>
        <rFont val="ＭＳ Ｐゴシック"/>
        <family val="3"/>
        <charset val="128"/>
      </rPr>
      <t>割引後</t>
    </r>
    <rPh sb="0" eb="2">
      <t>ワリビキ</t>
    </rPh>
    <rPh sb="2" eb="3">
      <t>ゴ</t>
    </rPh>
    <phoneticPr fontId="6"/>
  </si>
  <si>
    <r>
      <rPr>
        <sz val="11"/>
        <color rgb="FF000000"/>
        <rFont val="ＭＳ Ｐゴシック"/>
        <family val="3"/>
        <charset val="128"/>
      </rPr>
      <t>消費税込み</t>
    </r>
    <rPh sb="0" eb="3">
      <t>ショウヒゼイ</t>
    </rPh>
    <rPh sb="3" eb="4">
      <t>コ</t>
    </rPh>
    <phoneticPr fontId="6"/>
  </si>
  <si>
    <r>
      <rPr>
        <sz val="11"/>
        <color rgb="FF000000"/>
        <rFont val="ＭＳ Ｐゴシック"/>
        <family val="3"/>
        <charset val="128"/>
      </rPr>
      <t>合計</t>
    </r>
    <rPh sb="0" eb="2">
      <t>ゴウケイ</t>
    </rPh>
    <phoneticPr fontId="6"/>
  </si>
  <si>
    <r>
      <rPr>
        <sz val="11"/>
        <color theme="1"/>
        <rFont val="ＭＳ Ｐゴシック"/>
        <family val="3"/>
        <charset val="128"/>
      </rPr>
      <t>セーター</t>
    </r>
    <phoneticPr fontId="6"/>
  </si>
  <si>
    <r>
      <rPr>
        <sz val="11"/>
        <color theme="1"/>
        <rFont val="ＭＳ Ｐゴシック"/>
        <family val="3"/>
        <charset val="128"/>
      </rPr>
      <t>シャツ</t>
    </r>
    <phoneticPr fontId="6"/>
  </si>
  <si>
    <r>
      <rPr>
        <sz val="11"/>
        <color theme="1"/>
        <rFont val="ＭＳ Ｐゴシック"/>
        <family val="3"/>
        <charset val="128"/>
      </rPr>
      <t>コート</t>
    </r>
    <phoneticPr fontId="6"/>
  </si>
  <si>
    <t>平均</t>
    <rPh sb="0" eb="2">
      <t>ヘイキン</t>
    </rPh>
    <phoneticPr fontId="2"/>
  </si>
  <si>
    <r>
      <rPr>
        <sz val="11"/>
        <color theme="1"/>
        <rFont val="ＭＳ Ｐゴシック"/>
        <family val="3"/>
        <charset val="128"/>
      </rPr>
      <t>平均値</t>
    </r>
    <rPh sb="0" eb="2">
      <t>ヘイキン</t>
    </rPh>
    <rPh sb="2" eb="3">
      <t>チ</t>
    </rPh>
    <phoneticPr fontId="2"/>
  </si>
  <si>
    <t>※グラフ作成用</t>
    <rPh sb="4" eb="7">
      <t>サクセイヨウ</t>
    </rPh>
    <phoneticPr fontId="6"/>
  </si>
  <si>
    <t>中央値</t>
  </si>
  <si>
    <t>川崎</t>
    <rPh sb="0" eb="2">
      <t>カワサキ</t>
    </rPh>
    <phoneticPr fontId="6"/>
  </si>
  <si>
    <t>商品別販売数</t>
    <rPh sb="0" eb="2">
      <t>ショウヒン</t>
    </rPh>
    <rPh sb="2" eb="3">
      <t>ベツ</t>
    </rPh>
    <rPh sb="3" eb="5">
      <t>ハンバイ</t>
    </rPh>
    <rPh sb="5" eb="6">
      <t>スウ</t>
    </rPh>
    <phoneticPr fontId="6"/>
  </si>
  <si>
    <t>平均単価</t>
    <rPh sb="0" eb="2">
      <t>ヘイキン</t>
    </rPh>
    <rPh sb="2" eb="4">
      <t>タンカ</t>
    </rPh>
    <phoneticPr fontId="6"/>
  </si>
  <si>
    <t>個</t>
    <rPh sb="0" eb="1">
      <t>コ</t>
    </rPh>
    <phoneticPr fontId="6"/>
  </si>
  <si>
    <t>女性のみ</t>
    <rPh sb="0" eb="2">
      <t>ジョセイ</t>
    </rPh>
    <phoneticPr fontId="6"/>
  </si>
  <si>
    <t>本日：</t>
    <rPh sb="0" eb="2">
      <t>ホンジツ</t>
    </rPh>
    <phoneticPr fontId="6"/>
  </si>
  <si>
    <r>
      <rPr>
        <sz val="11"/>
        <color rgb="FF000000"/>
        <rFont val="ＭＳ Ｐゴシック"/>
        <family val="3"/>
        <charset val="128"/>
      </rPr>
      <t>商品開発スケジュール</t>
    </r>
    <rPh sb="0" eb="2">
      <t>ショウヒン</t>
    </rPh>
    <rPh sb="2" eb="4">
      <t>カイハツ</t>
    </rPh>
    <phoneticPr fontId="6"/>
  </si>
  <si>
    <t>締切</t>
    <rPh sb="0" eb="2">
      <t>シメキリ</t>
    </rPh>
    <phoneticPr fontId="6"/>
  </si>
  <si>
    <r>
      <rPr>
        <sz val="11"/>
        <color rgb="FF000000"/>
        <rFont val="ＭＳ Ｐゴシック"/>
        <family val="3"/>
        <charset val="128"/>
      </rPr>
      <t>残り日数</t>
    </r>
    <rPh sb="0" eb="1">
      <t>ノコ</t>
    </rPh>
    <rPh sb="2" eb="4">
      <t>ニッスウ</t>
    </rPh>
    <phoneticPr fontId="6"/>
  </si>
  <si>
    <r>
      <rPr>
        <sz val="11"/>
        <color rgb="FF000000"/>
        <rFont val="ＭＳ Ｐゴシック"/>
        <family val="3"/>
        <charset val="128"/>
      </rPr>
      <t>商品企画</t>
    </r>
    <rPh sb="0" eb="2">
      <t>ショウヒン</t>
    </rPh>
    <rPh sb="2" eb="4">
      <t>キカク</t>
    </rPh>
    <phoneticPr fontId="6"/>
  </si>
  <si>
    <r>
      <rPr>
        <sz val="11"/>
        <color theme="1"/>
        <rFont val="ＭＳ Ｐゴシック"/>
        <family val="3"/>
        <charset val="128"/>
      </rPr>
      <t>パッケージデザイン</t>
    </r>
    <phoneticPr fontId="6"/>
  </si>
  <si>
    <r>
      <rPr>
        <sz val="11"/>
        <color theme="1"/>
        <rFont val="ＭＳ Ｐゴシック"/>
        <family val="3"/>
        <charset val="128"/>
      </rPr>
      <t>製作コスト見積もり</t>
    </r>
    <rPh sb="0" eb="2">
      <t>セイサク</t>
    </rPh>
    <rPh sb="5" eb="7">
      <t>ミツ</t>
    </rPh>
    <phoneticPr fontId="6"/>
  </si>
  <si>
    <r>
      <rPr>
        <sz val="11"/>
        <color theme="1"/>
        <rFont val="ＭＳ Ｐゴシック"/>
        <family val="3"/>
        <charset val="128"/>
      </rPr>
      <t>テスト販売開始</t>
    </r>
    <rPh sb="3" eb="5">
      <t>ハンバイ</t>
    </rPh>
    <rPh sb="5" eb="7">
      <t>カイシ</t>
    </rPh>
    <phoneticPr fontId="6"/>
  </si>
  <si>
    <r>
      <rPr>
        <sz val="11"/>
        <color theme="1"/>
        <rFont val="ＭＳ Ｐゴシック"/>
        <family val="3"/>
        <charset val="128"/>
      </rPr>
      <t>テスト検証</t>
    </r>
    <rPh sb="3" eb="5">
      <t>ケンショウ</t>
    </rPh>
    <phoneticPr fontId="6"/>
  </si>
  <si>
    <r>
      <rPr>
        <sz val="11"/>
        <color theme="1"/>
        <rFont val="ＭＳ Ｐゴシック"/>
        <family val="3"/>
        <charset val="128"/>
      </rPr>
      <t>販売開始</t>
    </r>
    <rPh sb="0" eb="2">
      <t>ハンバイ</t>
    </rPh>
    <rPh sb="2" eb="4">
      <t>カイシ</t>
    </rPh>
    <phoneticPr fontId="6"/>
  </si>
  <si>
    <t>請求書</t>
  </si>
  <si>
    <r>
      <rPr>
        <sz val="11"/>
        <color rgb="FFFF0000"/>
        <rFont val="ＭＳ Ｐゴシック"/>
        <family val="3"/>
        <charset val="128"/>
      </rPr>
      <t>※今日の日付</t>
    </r>
    <rPh sb="1" eb="3">
      <t>キョウ</t>
    </rPh>
    <rPh sb="4" eb="6">
      <t>ヒヅケ</t>
    </rPh>
    <phoneticPr fontId="2"/>
  </si>
  <si>
    <t>※四捨五入</t>
    <rPh sb="1" eb="5">
      <t>シシャゴニュウ</t>
    </rPh>
    <phoneticPr fontId="2"/>
  </si>
  <si>
    <r>
      <rPr>
        <sz val="11"/>
        <color theme="1"/>
        <rFont val="ＭＳ Ｐゴシック"/>
        <family val="3"/>
        <charset val="128"/>
      </rPr>
      <t>支払期限：</t>
    </r>
    <rPh sb="0" eb="2">
      <t>シハライ</t>
    </rPh>
    <rPh sb="2" eb="4">
      <t>キゲン</t>
    </rPh>
    <phoneticPr fontId="2"/>
  </si>
  <si>
    <t>購入日</t>
    <rPh sb="0" eb="2">
      <t>コウニュウ</t>
    </rPh>
    <rPh sb="2" eb="3">
      <t>ビ</t>
    </rPh>
    <phoneticPr fontId="6"/>
  </si>
  <si>
    <t>保証期間（月）</t>
    <rPh sb="0" eb="2">
      <t>ホショウ</t>
    </rPh>
    <rPh sb="2" eb="4">
      <t>キカン</t>
    </rPh>
    <rPh sb="5" eb="6">
      <t>ツキ</t>
    </rPh>
    <phoneticPr fontId="6"/>
  </si>
  <si>
    <t>保証期限</t>
    <rPh sb="0" eb="2">
      <t>ホショウ</t>
    </rPh>
    <rPh sb="2" eb="4">
      <t>キゲン</t>
    </rPh>
    <phoneticPr fontId="6"/>
  </si>
  <si>
    <t>年齢</t>
    <rPh sb="0" eb="2">
      <t>ネンレイ</t>
    </rPh>
    <phoneticPr fontId="6"/>
  </si>
  <si>
    <t>社員</t>
    <rPh sb="0" eb="2">
      <t>シャイン</t>
    </rPh>
    <phoneticPr fontId="6"/>
  </si>
  <si>
    <r>
      <rPr>
        <sz val="11"/>
        <color rgb="FF000000"/>
        <rFont val="ＭＳ Ｐゴシック"/>
        <family val="2"/>
        <charset val="128"/>
      </rPr>
      <t>生年月日</t>
    </r>
    <rPh sb="0" eb="2">
      <t>セイネン</t>
    </rPh>
    <rPh sb="2" eb="4">
      <t>ガッピ</t>
    </rPh>
    <phoneticPr fontId="6"/>
  </si>
  <si>
    <t>歳</t>
    <rPh sb="0" eb="1">
      <t>トシ</t>
    </rPh>
    <phoneticPr fontId="6"/>
  </si>
  <si>
    <t>ヶ月</t>
    <rPh sb="1" eb="2">
      <t>ゲツ</t>
    </rPh>
    <phoneticPr fontId="6"/>
  </si>
  <si>
    <r>
      <rPr>
        <sz val="11"/>
        <color rgb="FF000000"/>
        <rFont val="ＭＳ Ｐゴシック"/>
        <family val="3"/>
        <charset val="128"/>
      </rPr>
      <t>売上集計</t>
    </r>
    <rPh sb="0" eb="2">
      <t>ウリアゲ</t>
    </rPh>
    <rPh sb="2" eb="4">
      <t>シュウケイ</t>
    </rPh>
    <phoneticPr fontId="6"/>
  </si>
  <si>
    <r>
      <rPr>
        <sz val="11"/>
        <color rgb="FF000000"/>
        <rFont val="ＭＳ Ｐゴシック"/>
        <family val="3"/>
        <charset val="128"/>
      </rPr>
      <t>月</t>
    </r>
    <rPh sb="0" eb="1">
      <t>ツキ</t>
    </rPh>
    <phoneticPr fontId="6"/>
  </si>
  <si>
    <r>
      <rPr>
        <sz val="11"/>
        <color rgb="FF000000"/>
        <rFont val="ＭＳ Ｐゴシック"/>
        <family val="3"/>
        <charset val="128"/>
      </rPr>
      <t>売上</t>
    </r>
    <rPh sb="0" eb="2">
      <t>ウリアゲ</t>
    </rPh>
    <phoneticPr fontId="6"/>
  </si>
  <si>
    <r>
      <rPr>
        <sz val="11"/>
        <color theme="1"/>
        <rFont val="ＭＳ Ｐゴシック"/>
        <family val="3"/>
        <charset val="128"/>
      </rPr>
      <t>年</t>
    </r>
    <rPh sb="0" eb="1">
      <t>ネン</t>
    </rPh>
    <phoneticPr fontId="6"/>
  </si>
  <si>
    <t>休業日</t>
    <rPh sb="0" eb="2">
      <t>キュウギョウ</t>
    </rPh>
    <rPh sb="2" eb="3">
      <t>ヒ</t>
    </rPh>
    <phoneticPr fontId="6"/>
  </si>
  <si>
    <t>開始日</t>
    <rPh sb="0" eb="3">
      <t>カイシビ</t>
    </rPh>
    <phoneticPr fontId="6"/>
  </si>
  <si>
    <t>営業日数</t>
    <rPh sb="0" eb="2">
      <t>エイギョウ</t>
    </rPh>
    <rPh sb="2" eb="4">
      <t>ニッスウ</t>
    </rPh>
    <phoneticPr fontId="6"/>
  </si>
  <si>
    <t>日後</t>
    <rPh sb="0" eb="1">
      <t>ニチ</t>
    </rPh>
    <rPh sb="1" eb="2">
      <t>ゴ</t>
    </rPh>
    <phoneticPr fontId="6"/>
  </si>
  <si>
    <t>終了日</t>
    <rPh sb="0" eb="2">
      <t>シュウリョウ</t>
    </rPh>
    <rPh sb="2" eb="3">
      <t>ヒ</t>
    </rPh>
    <phoneticPr fontId="6"/>
  </si>
  <si>
    <t>日間</t>
    <rPh sb="0" eb="2">
      <t>ニチカン</t>
    </rPh>
    <phoneticPr fontId="6"/>
  </si>
  <si>
    <t>出勤</t>
    <rPh sb="0" eb="2">
      <t>シュッキン</t>
    </rPh>
    <phoneticPr fontId="6"/>
  </si>
  <si>
    <t>退勤</t>
    <rPh sb="0" eb="2">
      <t>タイキン</t>
    </rPh>
    <phoneticPr fontId="6"/>
  </si>
  <si>
    <t>勤務時間</t>
    <rPh sb="0" eb="2">
      <t>キンム</t>
    </rPh>
    <rPh sb="2" eb="4">
      <t>ジカン</t>
    </rPh>
    <phoneticPr fontId="6"/>
  </si>
  <si>
    <t>給与計算</t>
    <rPh sb="0" eb="2">
      <t>キュウヨ</t>
    </rPh>
    <rPh sb="2" eb="4">
      <t>ケイサン</t>
    </rPh>
    <phoneticPr fontId="6"/>
  </si>
  <si>
    <t>日数</t>
    <rPh sb="0" eb="2">
      <t>ニッスウ</t>
    </rPh>
    <phoneticPr fontId="6"/>
  </si>
  <si>
    <t>日</t>
    <rPh sb="0" eb="1">
      <t>ニチ</t>
    </rPh>
    <phoneticPr fontId="6"/>
  </si>
  <si>
    <t>※日＋時間に分解</t>
    <phoneticPr fontId="6"/>
  </si>
  <si>
    <t>時間</t>
    <rPh sb="0" eb="2">
      <t>ジカン</t>
    </rPh>
    <phoneticPr fontId="6"/>
  </si>
  <si>
    <t>合計時間</t>
    <rPh sb="0" eb="2">
      <t>ゴウケイ</t>
    </rPh>
    <rPh sb="2" eb="4">
      <t>ジカン</t>
    </rPh>
    <phoneticPr fontId="6"/>
  </si>
  <si>
    <t>時給</t>
    <rPh sb="0" eb="2">
      <t>ジキュウ</t>
    </rPh>
    <phoneticPr fontId="6"/>
  </si>
  <si>
    <t>給料</t>
    <rPh sb="0" eb="2">
      <t>キュウリョウ</t>
    </rPh>
    <phoneticPr fontId="6"/>
  </si>
  <si>
    <t>合計：</t>
    <rPh sb="0" eb="2">
      <t>ゴウケイ</t>
    </rPh>
    <phoneticPr fontId="6"/>
  </si>
  <si>
    <t>[h]</t>
    <phoneticPr fontId="6"/>
  </si>
  <si>
    <r>
      <rPr>
        <sz val="11"/>
        <color theme="1"/>
        <rFont val="ＭＳ Ｐゴシック"/>
        <family val="2"/>
        <charset val="128"/>
      </rPr>
      <t>数字</t>
    </r>
    <r>
      <rPr>
        <sz val="11"/>
        <color theme="1"/>
        <rFont val="Arial"/>
        <family val="2"/>
      </rPr>
      <t>8</t>
    </r>
    <r>
      <rPr>
        <sz val="11"/>
        <color theme="1"/>
        <rFont val="ＭＳ Ｐゴシック"/>
        <family val="2"/>
        <charset val="128"/>
      </rPr>
      <t>ケタ</t>
    </r>
    <rPh sb="0" eb="2">
      <t>スウジ</t>
    </rPh>
    <phoneticPr fontId="6"/>
  </si>
  <si>
    <t>年</t>
    <rPh sb="0" eb="1">
      <t>ネン</t>
    </rPh>
    <phoneticPr fontId="6"/>
  </si>
  <si>
    <t>日</t>
    <rPh sb="0" eb="1">
      <t>ヒ</t>
    </rPh>
    <phoneticPr fontId="6"/>
  </si>
  <si>
    <t>日付</t>
    <rPh sb="0" eb="2">
      <t>ヒヅケ</t>
    </rPh>
    <phoneticPr fontId="6"/>
  </si>
  <si>
    <r>
      <rPr>
        <sz val="11"/>
        <color rgb="FF000000"/>
        <rFont val="ＭＳ Ｐゴシック"/>
        <family val="3"/>
        <charset val="128"/>
      </rPr>
      <t>部とチーム名を分ける</t>
    </r>
    <rPh sb="0" eb="1">
      <t>ブ</t>
    </rPh>
    <rPh sb="5" eb="6">
      <t>メイ</t>
    </rPh>
    <rPh sb="7" eb="8">
      <t>ワ</t>
    </rPh>
    <phoneticPr fontId="6"/>
  </si>
  <si>
    <t>最初から何文字目まで？</t>
    <rPh sb="0" eb="2">
      <t>サイショ</t>
    </rPh>
    <rPh sb="4" eb="8">
      <t>ナンモジメ</t>
    </rPh>
    <phoneticPr fontId="6"/>
  </si>
  <si>
    <r>
      <rPr>
        <sz val="11"/>
        <color rgb="FF000000"/>
        <rFont val="ＭＳ Ｐゴシック"/>
        <family val="3"/>
        <charset val="128"/>
      </rPr>
      <t>何文字目から</t>
    </r>
    <rPh sb="0" eb="4">
      <t>ナンモジメ</t>
    </rPh>
    <phoneticPr fontId="6"/>
  </si>
  <si>
    <t>何文字分？</t>
    <rPh sb="0" eb="4">
      <t>ナンモジブン</t>
    </rPh>
    <phoneticPr fontId="6"/>
  </si>
  <si>
    <t>営業部東京チーム</t>
    <phoneticPr fontId="6"/>
  </si>
  <si>
    <t>海外営業部アジアチーム</t>
    <phoneticPr fontId="6"/>
  </si>
  <si>
    <t>人事部労務チーム</t>
    <phoneticPr fontId="6"/>
  </si>
  <si>
    <t>経理部税金担当チーム</t>
    <phoneticPr fontId="6"/>
  </si>
  <si>
    <t>購入者数</t>
    <rPh sb="0" eb="3">
      <t>コウニュウシャ</t>
    </rPh>
    <rPh sb="3" eb="4">
      <t>スウ</t>
    </rPh>
    <phoneticPr fontId="6"/>
  </si>
  <si>
    <t>◆担当者ごと、ABCで評価。</t>
    <rPh sb="1" eb="4">
      <t>タントウシャ</t>
    </rPh>
    <rPh sb="11" eb="13">
      <t>ヒョウカ</t>
    </rPh>
    <phoneticPr fontId="2"/>
  </si>
  <si>
    <t>◆「目標」よりも「実績」が大きければ「〇」、それ以外は空欄で評価。</t>
    <rPh sb="2" eb="4">
      <t>モクヒョウ</t>
    </rPh>
    <rPh sb="9" eb="11">
      <t>ジッセキ</t>
    </rPh>
    <rPh sb="13" eb="14">
      <t>オオ</t>
    </rPh>
    <rPh sb="24" eb="26">
      <t>イガイ</t>
    </rPh>
    <rPh sb="27" eb="29">
      <t>クウラン</t>
    </rPh>
    <rPh sb="30" eb="32">
      <t>ヒョウカ</t>
    </rPh>
    <phoneticPr fontId="2"/>
  </si>
  <si>
    <t>◆支店ごと、性別ごとの集計　※データは「ピボットデータ」シート。</t>
    <rPh sb="1" eb="3">
      <t>シテン</t>
    </rPh>
    <rPh sb="6" eb="8">
      <t>セイベツ</t>
    </rPh>
    <rPh sb="11" eb="13">
      <t>シュウケイ</t>
    </rPh>
    <phoneticPr fontId="2"/>
  </si>
  <si>
    <t>◆「目標」よりも「実績」が大きければ「〇」、それ以外は空欄で評価。※IFS関数を使用。</t>
    <rPh sb="37" eb="39">
      <t>カンスウ</t>
    </rPh>
    <rPh sb="40" eb="42">
      <t>シヨウ</t>
    </rPh>
    <phoneticPr fontId="2"/>
  </si>
  <si>
    <t>合否判定①</t>
    <rPh sb="0" eb="2">
      <t>ゴウヒ</t>
    </rPh>
    <rPh sb="2" eb="4">
      <t>ハンテイ</t>
    </rPh>
    <phoneticPr fontId="6"/>
  </si>
  <si>
    <t>合否判定②</t>
    <rPh sb="0" eb="2">
      <t>ゴウヒ</t>
    </rPh>
    <rPh sb="2" eb="4">
      <t>ハンテイ</t>
    </rPh>
    <phoneticPr fontId="6"/>
  </si>
  <si>
    <t>◆合否判定①、合否判定②の条件から、「合格」「不合格」を判定。</t>
    <rPh sb="1" eb="5">
      <t>ゴウヒハンテイ</t>
    </rPh>
    <rPh sb="7" eb="11">
      <t>ゴウヒハンテイ</t>
    </rPh>
    <rPh sb="13" eb="15">
      <t>ジョウケン</t>
    </rPh>
    <rPh sb="19" eb="21">
      <t>ゴウカク</t>
    </rPh>
    <rPh sb="23" eb="26">
      <t>フゴウカク</t>
    </rPh>
    <rPh sb="28" eb="30">
      <t>ハンテイ</t>
    </rPh>
    <phoneticPr fontId="2"/>
  </si>
  <si>
    <t>◆条件(1)(2)より、「合格」「不合格」を判定。</t>
    <rPh sb="1" eb="3">
      <t>ジョウケン</t>
    </rPh>
    <rPh sb="13" eb="15">
      <t>ゴウカク</t>
    </rPh>
    <rPh sb="17" eb="20">
      <t>フゴウカク</t>
    </rPh>
    <rPh sb="22" eb="24">
      <t>ハンテイ</t>
    </rPh>
    <phoneticPr fontId="2"/>
  </si>
  <si>
    <t>◆エラーの場合「‐」で表示。</t>
    <rPh sb="5" eb="7">
      <t>バアイ</t>
    </rPh>
    <rPh sb="11" eb="13">
      <t>ヒョウジ</t>
    </rPh>
    <phoneticPr fontId="2"/>
  </si>
  <si>
    <t>◆居酒屋のビール価格を検索。</t>
    <rPh sb="1" eb="2">
      <t>イ</t>
    </rPh>
    <rPh sb="2" eb="3">
      <t>サケ</t>
    </rPh>
    <rPh sb="3" eb="4">
      <t>ヤ</t>
    </rPh>
    <rPh sb="8" eb="10">
      <t>カカク</t>
    </rPh>
    <rPh sb="11" eb="13">
      <t>ケンサク</t>
    </rPh>
    <phoneticPr fontId="2"/>
  </si>
  <si>
    <t>◆居酒屋のワイン価格を検索。</t>
    <rPh sb="1" eb="2">
      <t>イ</t>
    </rPh>
    <rPh sb="2" eb="3">
      <t>サケ</t>
    </rPh>
    <rPh sb="3" eb="4">
      <t>ヤ</t>
    </rPh>
    <rPh sb="8" eb="10">
      <t>カカク</t>
    </rPh>
    <rPh sb="11" eb="13">
      <t>ケンサク</t>
    </rPh>
    <phoneticPr fontId="2"/>
  </si>
  <si>
    <t>◆レストランの日本酒価格を検索。※条件変更時には自動で更新。</t>
    <rPh sb="7" eb="10">
      <t>ニホンシュ</t>
    </rPh>
    <rPh sb="10" eb="12">
      <t>カカク</t>
    </rPh>
    <rPh sb="13" eb="15">
      <t>ケンサク</t>
    </rPh>
    <rPh sb="17" eb="21">
      <t>ジョウケンヘンコウ</t>
    </rPh>
    <rPh sb="21" eb="22">
      <t>ジ</t>
    </rPh>
    <rPh sb="24" eb="26">
      <t>ジドウ</t>
    </rPh>
    <rPh sb="27" eb="29">
      <t>コウシン</t>
    </rPh>
    <phoneticPr fontId="2"/>
  </si>
  <si>
    <r>
      <t>SUBTOTAL</t>
    </r>
    <r>
      <rPr>
        <sz val="11"/>
        <color rgb="FF000000"/>
        <rFont val="ＭＳ ゴシック"/>
        <family val="3"/>
        <charset val="128"/>
      </rPr>
      <t>関数を使用</t>
    </r>
    <phoneticPr fontId="6"/>
  </si>
  <si>
    <t>◆販売数を算出　※SUBTOTAL関数でフィルターで非表示になったセルは計算されない・外される。</t>
    <rPh sb="1" eb="4">
      <t>ハンバイスウ</t>
    </rPh>
    <rPh sb="5" eb="7">
      <t>サンシュツ</t>
    </rPh>
    <rPh sb="17" eb="19">
      <t>カンスウ</t>
    </rPh>
    <rPh sb="26" eb="29">
      <t>ヒヒョウジ</t>
    </rPh>
    <rPh sb="36" eb="38">
      <t>ケイサン</t>
    </rPh>
    <rPh sb="43" eb="44">
      <t>ハズ</t>
    </rPh>
    <phoneticPr fontId="2"/>
  </si>
  <si>
    <t>※販売数を算出。※SUBTOTAL関数で重複を外す。</t>
    <rPh sb="1" eb="4">
      <t>ハンバイスウ</t>
    </rPh>
    <rPh sb="5" eb="7">
      <t>サンシュツ</t>
    </rPh>
    <rPh sb="20" eb="22">
      <t>ジュウフク</t>
    </rPh>
    <rPh sb="23" eb="24">
      <t>ハズ</t>
    </rPh>
    <phoneticPr fontId="2"/>
  </si>
  <si>
    <t>※3月～6月範囲の合計販売数を算出。</t>
    <rPh sb="2" eb="3">
      <t>ガツ</t>
    </rPh>
    <rPh sb="5" eb="6">
      <t>ガツ</t>
    </rPh>
    <rPh sb="6" eb="8">
      <t>ハンイ</t>
    </rPh>
    <rPh sb="9" eb="14">
      <t>ゴウケイハンバイスウ</t>
    </rPh>
    <rPh sb="15" eb="17">
      <t>サンシュツ</t>
    </rPh>
    <phoneticPr fontId="2"/>
  </si>
  <si>
    <t>◆テスト結果の点数を「平均値」「中央値」で算出。</t>
    <rPh sb="4" eb="6">
      <t>ケッカ</t>
    </rPh>
    <rPh sb="7" eb="9">
      <t>テンスウ</t>
    </rPh>
    <rPh sb="11" eb="14">
      <t>ヘイキンチ</t>
    </rPh>
    <rPh sb="16" eb="19">
      <t>チュウオウチ</t>
    </rPh>
    <rPh sb="21" eb="23">
      <t>サンシュツ</t>
    </rPh>
    <phoneticPr fontId="2"/>
  </si>
  <si>
    <t>※女性のみの平均値を算出。</t>
    <rPh sb="1" eb="3">
      <t>ジョセイ</t>
    </rPh>
    <rPh sb="6" eb="9">
      <t>ヘイキンチ</t>
    </rPh>
    <rPh sb="10" eb="12">
      <t>サンシュツ</t>
    </rPh>
    <phoneticPr fontId="2"/>
  </si>
  <si>
    <t>◆今日の日付を自動的に取得＋更新</t>
    <rPh sb="1" eb="3">
      <t>キョウ</t>
    </rPh>
    <rPh sb="4" eb="6">
      <t>ヒヅケ</t>
    </rPh>
    <rPh sb="7" eb="10">
      <t>ジドウテキ</t>
    </rPh>
    <rPh sb="11" eb="13">
      <t>シュトク</t>
    </rPh>
    <rPh sb="14" eb="16">
      <t>コウシン</t>
    </rPh>
    <phoneticPr fontId="2"/>
  </si>
  <si>
    <t>※今月末</t>
    <rPh sb="1" eb="4">
      <t>コンゲツマツ</t>
    </rPh>
    <phoneticPr fontId="2"/>
  </si>
  <si>
    <t>支払期限：</t>
    <rPh sb="0" eb="2">
      <t>シハライ</t>
    </rPh>
    <rPh sb="2" eb="4">
      <t>キゲン</t>
    </rPh>
    <phoneticPr fontId="2"/>
  </si>
  <si>
    <t>※翌月末</t>
    <rPh sb="1" eb="4">
      <t>ヨクゲツマツ</t>
    </rPh>
    <phoneticPr fontId="2"/>
  </si>
  <si>
    <t>◆「税込み」の四捨五入。※合計金額が小数点を入れて計算されるため関数で調整。</t>
    <rPh sb="2" eb="4">
      <t>ゼイコ</t>
    </rPh>
    <rPh sb="7" eb="11">
      <t>シシャゴニュウ</t>
    </rPh>
    <rPh sb="13" eb="15">
      <t>ゴウケイ</t>
    </rPh>
    <rPh sb="15" eb="17">
      <t>キンガク</t>
    </rPh>
    <rPh sb="18" eb="21">
      <t>ショウスウテン</t>
    </rPh>
    <rPh sb="22" eb="23">
      <t>イ</t>
    </rPh>
    <rPh sb="25" eb="27">
      <t>ケイサン</t>
    </rPh>
    <rPh sb="32" eb="34">
      <t>カンスウ</t>
    </rPh>
    <rPh sb="35" eb="37">
      <t>チョウセイ</t>
    </rPh>
    <phoneticPr fontId="2"/>
  </si>
  <si>
    <t>◆「保証期限」の取得</t>
    <rPh sb="2" eb="4">
      <t>ホショウ</t>
    </rPh>
    <rPh sb="4" eb="6">
      <t>キゲン</t>
    </rPh>
    <rPh sb="8" eb="10">
      <t>シュトク</t>
    </rPh>
    <phoneticPr fontId="2"/>
  </si>
  <si>
    <t>26年9月末時点の、社員の平均年齢</t>
    <rPh sb="2" eb="3">
      <t>ネン</t>
    </rPh>
    <rPh sb="4" eb="6">
      <t>ガツマツ</t>
    </rPh>
    <rPh sb="6" eb="8">
      <t>ジテン</t>
    </rPh>
    <rPh sb="10" eb="12">
      <t>シャイン</t>
    </rPh>
    <rPh sb="13" eb="15">
      <t>ヘイキン</t>
    </rPh>
    <rPh sb="15" eb="17">
      <t>ネンレイ</t>
    </rPh>
    <phoneticPr fontId="2"/>
  </si>
  <si>
    <t>26年9月末時点</t>
    <rPh sb="2" eb="3">
      <t>ネン</t>
    </rPh>
    <rPh sb="4" eb="5">
      <t>ガツ</t>
    </rPh>
    <rPh sb="5" eb="6">
      <t>マツ</t>
    </rPh>
    <rPh sb="6" eb="8">
      <t>ジテン</t>
    </rPh>
    <phoneticPr fontId="6"/>
  </si>
  <si>
    <t>◆社員の生年月日から9月末時点の年齢を算出。</t>
    <rPh sb="1" eb="3">
      <t>シャイン</t>
    </rPh>
    <rPh sb="4" eb="8">
      <t>セイネンガッピ</t>
    </rPh>
    <rPh sb="11" eb="13">
      <t>ガツマツ</t>
    </rPh>
    <rPh sb="13" eb="15">
      <t>ジテン</t>
    </rPh>
    <rPh sb="16" eb="18">
      <t>ネンレイ</t>
    </rPh>
    <rPh sb="19" eb="21">
      <t>サンシュツ</t>
    </rPh>
    <phoneticPr fontId="2"/>
  </si>
  <si>
    <t>月</t>
    <rPh sb="0" eb="1">
      <t>ツキ</t>
    </rPh>
    <phoneticPr fontId="2"/>
  </si>
  <si>
    <t>日</t>
    <rPh sb="0" eb="1">
      <t>ヒ</t>
    </rPh>
    <phoneticPr fontId="2"/>
  </si>
  <si>
    <t>年</t>
    <rPh sb="0" eb="1">
      <t>ネン</t>
    </rPh>
    <phoneticPr fontId="2"/>
  </si>
  <si>
    <t>◆年・月ごとの集計</t>
    <rPh sb="1" eb="2">
      <t>ネン</t>
    </rPh>
    <rPh sb="3" eb="4">
      <t>ツキ</t>
    </rPh>
    <rPh sb="7" eb="9">
      <t>シュウケイ</t>
    </rPh>
    <phoneticPr fontId="2"/>
  </si>
  <si>
    <r>
      <rPr>
        <b/>
        <sz val="12"/>
        <color theme="1"/>
        <rFont val="Segoe UI Symbol"/>
        <family val="2"/>
      </rPr>
      <t>◆①</t>
    </r>
    <r>
      <rPr>
        <b/>
        <sz val="12"/>
        <color theme="1"/>
        <rFont val="ＭＳ Ｐゴシック"/>
        <family val="2"/>
        <charset val="128"/>
      </rPr>
      <t>年月日から曜日を取得　</t>
    </r>
    <r>
      <rPr>
        <b/>
        <sz val="12"/>
        <color theme="1"/>
        <rFont val="Segoe UI Symbol"/>
        <family val="2"/>
      </rPr>
      <t>②</t>
    </r>
    <r>
      <rPr>
        <b/>
        <sz val="12"/>
        <color theme="1"/>
        <rFont val="Yu Gothic"/>
        <family val="2"/>
        <charset val="128"/>
      </rPr>
      <t>土日、休業日を外して「終了日」「営業日数」を取得。</t>
    </r>
    <rPh sb="2" eb="5">
      <t>ネンゲツビ</t>
    </rPh>
    <rPh sb="7" eb="9">
      <t>ヨウビ</t>
    </rPh>
    <rPh sb="10" eb="12">
      <t>シュトク</t>
    </rPh>
    <rPh sb="14" eb="16">
      <t>ドニチ</t>
    </rPh>
    <rPh sb="17" eb="20">
      <t>キュウギョウビ</t>
    </rPh>
    <rPh sb="21" eb="22">
      <t>ハズ</t>
    </rPh>
    <rPh sb="25" eb="28">
      <t>シュウリョウビ</t>
    </rPh>
    <rPh sb="30" eb="32">
      <t>エイギョウ</t>
    </rPh>
    <rPh sb="32" eb="34">
      <t>ニッスウ</t>
    </rPh>
    <rPh sb="36" eb="38">
      <t>シュトク</t>
    </rPh>
    <phoneticPr fontId="2"/>
  </si>
  <si>
    <t>◆勤務時間の合計から、日数と時間を分解して算出</t>
    <rPh sb="1" eb="5">
      <t>キンムジカン</t>
    </rPh>
    <rPh sb="6" eb="8">
      <t>ゴウケイ</t>
    </rPh>
    <rPh sb="11" eb="13">
      <t>ニッスウ</t>
    </rPh>
    <rPh sb="14" eb="16">
      <t>ジカン</t>
    </rPh>
    <rPh sb="17" eb="19">
      <t>ブンカイ</t>
    </rPh>
    <rPh sb="21" eb="23">
      <t>サンシュツ</t>
    </rPh>
    <phoneticPr fontId="2"/>
  </si>
  <si>
    <t>◆男性・女性ごとの、「購入者数」「売上」「平均売上」を算出。※平均売上=売上÷購入者数で計算。</t>
    <rPh sb="1" eb="3">
      <t>ダンセイ</t>
    </rPh>
    <rPh sb="4" eb="6">
      <t>ジョセイ</t>
    </rPh>
    <rPh sb="11" eb="13">
      <t>コウニュウ</t>
    </rPh>
    <rPh sb="13" eb="14">
      <t>シャ</t>
    </rPh>
    <rPh sb="14" eb="15">
      <t>スウ</t>
    </rPh>
    <rPh sb="17" eb="19">
      <t>ウリアゲ</t>
    </rPh>
    <rPh sb="21" eb="23">
      <t>ヘイキン</t>
    </rPh>
    <rPh sb="23" eb="25">
      <t>ウリアゲ</t>
    </rPh>
    <rPh sb="27" eb="29">
      <t>サンシュツ</t>
    </rPh>
    <rPh sb="31" eb="33">
      <t>ヘイキン</t>
    </rPh>
    <rPh sb="33" eb="35">
      <t>ウリアゲ</t>
    </rPh>
    <rPh sb="36" eb="38">
      <t>ウリアゲ</t>
    </rPh>
    <rPh sb="39" eb="43">
      <t>コウニュウシャスウ</t>
    </rPh>
    <rPh sb="44" eb="46">
      <t>ケイサン</t>
    </rPh>
    <phoneticPr fontId="2"/>
  </si>
  <si>
    <t>◆商品「日本酒」、性別「男性」を条件とする、「販売数」「売上」を算出。</t>
    <rPh sb="1" eb="3">
      <t>ショウヒン</t>
    </rPh>
    <rPh sb="4" eb="7">
      <t>ニホンシュ</t>
    </rPh>
    <rPh sb="9" eb="11">
      <t>セイベツ</t>
    </rPh>
    <rPh sb="12" eb="14">
      <t>ダンセイ</t>
    </rPh>
    <rPh sb="16" eb="18">
      <t>ジョウケン</t>
    </rPh>
    <rPh sb="23" eb="26">
      <t>ハンバイスウ</t>
    </rPh>
    <rPh sb="28" eb="30">
      <t>ウリアゲ</t>
    </rPh>
    <rPh sb="32" eb="34">
      <t>サンシュツ</t>
    </rPh>
    <phoneticPr fontId="2"/>
  </si>
  <si>
    <t>◆①販売数に応じて賞与を判定。②販売数のレンジを算出(最大・最小)</t>
    <rPh sb="2" eb="5">
      <t>ハンバイスウ</t>
    </rPh>
    <rPh sb="6" eb="7">
      <t>オウ</t>
    </rPh>
    <rPh sb="9" eb="11">
      <t>ショウヨ</t>
    </rPh>
    <rPh sb="12" eb="14">
      <t>ハンテイ</t>
    </rPh>
    <rPh sb="16" eb="19">
      <t>ハンバイスウ</t>
    </rPh>
    <rPh sb="24" eb="26">
      <t>サンシュツ</t>
    </rPh>
    <rPh sb="27" eb="29">
      <t>サイダイ</t>
    </rPh>
    <rPh sb="30" eb="32">
      <t>サイショウ</t>
    </rPh>
    <phoneticPr fontId="2"/>
  </si>
  <si>
    <t>◆販売数の順位付けと賞与を算出。</t>
    <rPh sb="1" eb="4">
      <t>ハンバイスウ</t>
    </rPh>
    <rPh sb="5" eb="7">
      <t>ジュンイ</t>
    </rPh>
    <rPh sb="7" eb="8">
      <t>ヅ</t>
    </rPh>
    <rPh sb="10" eb="12">
      <t>ショウヨ</t>
    </rPh>
    <rPh sb="13" eb="15">
      <t>サンシュツ</t>
    </rPh>
    <phoneticPr fontId="2"/>
  </si>
  <si>
    <t>◆「受験予定者数」「受験済み数」を算出。</t>
    <rPh sb="2" eb="8">
      <t>ジュケンヨテイシャスウ</t>
    </rPh>
    <rPh sb="10" eb="13">
      <t>ジュケンズ</t>
    </rPh>
    <rPh sb="14" eb="15">
      <t>スウ</t>
    </rPh>
    <rPh sb="17" eb="19">
      <t>サンシュツ</t>
    </rPh>
    <phoneticPr fontId="2"/>
  </si>
  <si>
    <t>◆データ未入力数を算出。</t>
    <rPh sb="4" eb="7">
      <t>ミニュウリョク</t>
    </rPh>
    <rPh sb="7" eb="8">
      <t>スウ</t>
    </rPh>
    <rPh sb="9" eb="11">
      <t>サンシュツ</t>
    </rPh>
    <phoneticPr fontId="2"/>
  </si>
  <si>
    <t>◆指定した文字を含むデータを数える。</t>
    <rPh sb="1" eb="3">
      <t>シテイ</t>
    </rPh>
    <rPh sb="5" eb="7">
      <t>モジ</t>
    </rPh>
    <rPh sb="8" eb="9">
      <t>フク</t>
    </rPh>
    <rPh sb="14" eb="15">
      <t>カゾ</t>
    </rPh>
    <phoneticPr fontId="2"/>
  </si>
  <si>
    <t>◆「数字8ケタ」から年月日を取得する。</t>
    <rPh sb="2" eb="4">
      <t>スウジ</t>
    </rPh>
    <rPh sb="10" eb="13">
      <t>ネンゲツビ</t>
    </rPh>
    <rPh sb="14" eb="16">
      <t>シュトク</t>
    </rPh>
    <phoneticPr fontId="2"/>
  </si>
  <si>
    <r>
      <rPr>
        <b/>
        <sz val="11"/>
        <color rgb="FF000000"/>
        <rFont val="ＭＳ Ｐゴシック"/>
        <family val="3"/>
        <charset val="128"/>
      </rPr>
      <t>部</t>
    </r>
    <rPh sb="0" eb="1">
      <t>ブ</t>
    </rPh>
    <phoneticPr fontId="6"/>
  </si>
  <si>
    <t>チーム</t>
    <phoneticPr fontId="6"/>
  </si>
  <si>
    <t>■ 条件判定・分類</t>
  </si>
  <si>
    <t>IF・IFSによる複数段階の条件判定</t>
    <phoneticPr fontId="2"/>
  </si>
  <si>
    <t>AND・ORと組み合わせた複合条件による判定</t>
  </si>
  <si>
    <t>■ 条件付き集計・データ集計</t>
  </si>
  <si>
    <t>COUNTIFS・SUMIFSによる複数条件での集計</t>
    <phoneticPr fontId="2"/>
  </si>
  <si>
    <t>SUMPRODUCTを用いた販売数×単価などの集計</t>
  </si>
  <si>
    <t>COUNT・COUNTA・COUNTBLANKによる件数・未入力データの集計</t>
    <phoneticPr fontId="2"/>
  </si>
  <si>
    <t>■ データ検索・紐付け</t>
  </si>
  <si>
    <t>完全一致・近似一致を使い分けた検索</t>
  </si>
  <si>
    <t>INDEX・MATCHを組み合わせた柔軟なデータ検索</t>
  </si>
  <si>
    <t>VLOOKUP・HLOOKUPによるマスタデータからの情報検索</t>
  </si>
  <si>
    <t>■ データの順位付け・範囲分析</t>
  </si>
  <si>
    <t>RANKによる順位付け</t>
  </si>
  <si>
    <t>■ データ加工・整形</t>
  </si>
  <si>
    <t>YEAR・MONTH・DAYによる日付データの分解</t>
  </si>
  <si>
    <t>TEXTによる日付・曜日などの表示形式の変換</t>
  </si>
  <si>
    <t>LEFT・MID・FIND・LENによる文字列の抽出・分割</t>
    <phoneticPr fontId="2"/>
  </si>
  <si>
    <t>■ 日付・期間・勤務時間の計算</t>
  </si>
  <si>
    <t>TODAYによる基準日の自動取得</t>
    <phoneticPr fontId="2"/>
  </si>
  <si>
    <t>DATEDIFによる年齢・経過期間の算出</t>
  </si>
  <si>
    <t>EDATE・EOMONTHによる月単位・月末日の算出</t>
  </si>
  <si>
    <t>WORKDAY・NETWORKDAYSによる営業日・期間の計算</t>
  </si>
  <si>
    <t>■ エラー処理・データ品質への対応</t>
  </si>
  <si>
    <t>IFERRORによるエラー発生時の表示制御</t>
  </si>
  <si>
    <t>アスタリスク（ワイルドカード）を使用した文字列検索</t>
  </si>
  <si>
    <t>■ フィルター・可変範囲を考慮した集計</t>
    <phoneticPr fontId="2"/>
  </si>
  <si>
    <t>OFFSETによる指定範囲を変化させた集計</t>
  </si>
  <si>
    <t>■ ピボットテーブル・ピボットグラフによる集計・可視化</t>
  </si>
  <si>
    <t>集計結果をピボットグラフで可視化</t>
  </si>
  <si>
    <t>大量の明細データをピボットテーブルで集計</t>
  </si>
  <si>
    <t>集計したデータから傾向を把握しやすい形式へ整理</t>
  </si>
  <si>
    <t>地域・性別・商品など複数の切り口からデータを集計</t>
  </si>
  <si>
    <t>単に関数を使用するだけでなく、複数の条件による集計やデータの紐付け、エラー処理など、実務での活用を意識して学習しています。</t>
  </si>
  <si>
    <t>また、ピボットテーブル・ピボットグラフによる集計・可視化にも取り組み、データを目的に応じて整理・分析するための基礎スキルの習得を進めています。</t>
  </si>
  <si>
    <t>◆①本日の日付から今月末の支払い期限を算出。②本日の日付から翌月末の支払期限の算出。</t>
    <rPh sb="2" eb="4">
      <t>ホンジツ</t>
    </rPh>
    <rPh sb="5" eb="7">
      <t>ヒヅケ</t>
    </rPh>
    <rPh sb="9" eb="11">
      <t>コンゲツ</t>
    </rPh>
    <rPh sb="11" eb="12">
      <t>マツ</t>
    </rPh>
    <rPh sb="13" eb="15">
      <t>シハラ</t>
    </rPh>
    <rPh sb="16" eb="18">
      <t>キゲン</t>
    </rPh>
    <rPh sb="19" eb="21">
      <t>サンシュツ</t>
    </rPh>
    <rPh sb="23" eb="25">
      <t>ホンジツ</t>
    </rPh>
    <rPh sb="26" eb="28">
      <t>ヒヅケ</t>
    </rPh>
    <rPh sb="30" eb="33">
      <t>ヨクゲツマツ</t>
    </rPh>
    <rPh sb="32" eb="33">
      <t>マツ</t>
    </rPh>
    <rPh sb="34" eb="36">
      <t>シハライ</t>
    </rPh>
    <rPh sb="36" eb="38">
      <t>キゲン</t>
    </rPh>
    <rPh sb="39" eb="41">
      <t>サンシュツ</t>
    </rPh>
    <phoneticPr fontId="2"/>
  </si>
  <si>
    <t>◆「部」・「チーム」を分ける。</t>
    <rPh sb="2" eb="3">
      <t>ブ</t>
    </rPh>
    <rPh sb="11" eb="12">
      <t>ワ</t>
    </rPh>
    <phoneticPr fontId="2"/>
  </si>
  <si>
    <t>◆ウーロン茶の単価、数量、金額を算出。</t>
    <rPh sb="5" eb="6">
      <t>チャ</t>
    </rPh>
    <rPh sb="7" eb="9">
      <t>タンカ</t>
    </rPh>
    <rPh sb="10" eb="12">
      <t>スウリョウ</t>
    </rPh>
    <rPh sb="13" eb="15">
      <t>キンガク</t>
    </rPh>
    <rPh sb="16" eb="18">
      <t>サンシュツ</t>
    </rPh>
    <phoneticPr fontId="2"/>
  </si>
  <si>
    <t>◆一度で販売個数と平均単価を掛けて「売上合計」を算出。　※加重平均で平均を算出。</t>
    <rPh sb="1" eb="3">
      <t>イチド</t>
    </rPh>
    <rPh sb="4" eb="6">
      <t>ハンバイ</t>
    </rPh>
    <rPh sb="6" eb="8">
      <t>コスウ</t>
    </rPh>
    <rPh sb="9" eb="11">
      <t>ヘイキン</t>
    </rPh>
    <rPh sb="11" eb="13">
      <t>タンカ</t>
    </rPh>
    <rPh sb="14" eb="15">
      <t>カ</t>
    </rPh>
    <rPh sb="18" eb="20">
      <t>ウリアゲ</t>
    </rPh>
    <rPh sb="20" eb="22">
      <t>ゴウケイ</t>
    </rPh>
    <rPh sb="24" eb="26">
      <t>サンシュツ</t>
    </rPh>
    <rPh sb="29" eb="33">
      <t>カジュウヘイキン</t>
    </rPh>
    <rPh sb="34" eb="36">
      <t>ヘイキン</t>
    </rPh>
    <rPh sb="37" eb="39">
      <t>サンシュツ</t>
    </rPh>
    <phoneticPr fontId="2"/>
  </si>
  <si>
    <t>◆範囲内のすべての数字を掛け合わせる関数を使い合計を算出。</t>
    <rPh sb="1" eb="4">
      <t>ハンイナイ</t>
    </rPh>
    <rPh sb="9" eb="11">
      <t>スウジ</t>
    </rPh>
    <rPh sb="12" eb="13">
      <t>カ</t>
    </rPh>
    <rPh sb="14" eb="15">
      <t>ア</t>
    </rPh>
    <rPh sb="18" eb="20">
      <t>カンスウ</t>
    </rPh>
    <rPh sb="21" eb="22">
      <t>ツカ</t>
    </rPh>
    <rPh sb="23" eb="25">
      <t>ゴウケイ</t>
    </rPh>
    <rPh sb="26" eb="28">
      <t>サンシュツ</t>
    </rPh>
    <phoneticPr fontId="2"/>
  </si>
  <si>
    <t>MID・DATEによる8桁の数値から年月日への変換</t>
    <phoneticPr fontId="2"/>
  </si>
  <si>
    <t>MAX・MINによる最大値・最小値の抽出 ※MEDIANシート</t>
    <phoneticPr fontId="2"/>
  </si>
  <si>
    <t>COUNTBLANKによる未入力データ把握</t>
    <phoneticPr fontId="2"/>
  </si>
  <si>
    <t>SUBTOTALによるフィルター表示されたデータの集計</t>
    <phoneticPr fontId="2"/>
  </si>
  <si>
    <t>AVERAGE・AVERAGEIF・MEDIANによる平均値・中央値等の統計値算出</t>
    <rPh sb="34" eb="35">
      <t>ナド</t>
    </rPh>
    <phoneticPr fontId="2"/>
  </si>
  <si>
    <t>データ集計・分析に必要なExcelスキルの習得を目的として、関数を用いたデータの抽出・加工・集計・判定・検索などの処理を作成しました。</t>
    <phoneticPr fontId="2"/>
  </si>
  <si>
    <t>Excel関数ポートフォリオ_概要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</si>
</sst>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#,##0;&quot;△ &quot;#,##0"/>
    <numFmt numFmtId="177" formatCode="m&quot;月&quot;d&quot;日&quot;;@"/>
    <numFmt numFmtId="178" formatCode="m/d"/>
    <numFmt numFmtId="179" formatCode="@\ &quot;様&quot;"/>
    <numFmt numFmtId="180" formatCode="#,##0%;&quot;△ &quot;#,##0%"/>
    <numFmt numFmtId="181" formatCode="#,##0.0"/>
    <numFmt numFmtId="182" formatCode="h:mm;@"/>
    <numFmt numFmtId="183" formatCode="[h]:mm;@"/>
  </numFmts>
  <fonts count="42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  <font>
      <sz val="6"/>
      <name val="游ゴシック"/>
      <family val="2"/>
      <charset val="128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1"/>
      <color rgb="FF000000"/>
      <name val="ＭＳ Ｐゴシック"/>
      <family val="3"/>
      <charset val="128"/>
    </font>
    <font>
      <sz val="6"/>
      <name val="游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sz val="11"/>
      <color rgb="FF0070C0"/>
      <name val="Arial"/>
      <family val="2"/>
    </font>
    <font>
      <sz val="11"/>
      <name val="Arial"/>
      <family val="2"/>
    </font>
    <font>
      <sz val="11"/>
      <color rgb="FF0070C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</font>
    <font>
      <sz val="11"/>
      <color theme="1"/>
      <name val="ＭＳ ゴシック"/>
      <family val="3"/>
      <charset val="128"/>
    </font>
    <font>
      <sz val="11"/>
      <color theme="4"/>
      <name val="Arial"/>
      <family val="2"/>
    </font>
    <font>
      <sz val="11"/>
      <color theme="1"/>
      <name val="Arial"/>
      <family val="2"/>
      <charset val="128"/>
    </font>
    <font>
      <sz val="11"/>
      <color rgb="FF0070C0"/>
      <name val="ＭＳ Ｐゴシック"/>
      <family val="2"/>
      <charset val="128"/>
    </font>
    <font>
      <sz val="11"/>
      <color rgb="FF0000FF"/>
      <name val="Arial"/>
      <family val="2"/>
    </font>
    <font>
      <sz val="11"/>
      <color rgb="FF0000FF"/>
      <name val="ＭＳ Ｐゴシック"/>
      <family val="3"/>
      <charset val="128"/>
    </font>
    <font>
      <sz val="11"/>
      <color rgb="FFFF0000"/>
      <name val="Arial"/>
      <family val="2"/>
    </font>
    <font>
      <sz val="11"/>
      <color rgb="FFFF0000"/>
      <name val="ＭＳ Ｐゴシック"/>
      <family val="3"/>
      <charset val="128"/>
    </font>
    <font>
      <sz val="11"/>
      <name val="ＭＳ Ｐゴシック"/>
      <family val="2"/>
      <charset val="128"/>
    </font>
    <font>
      <sz val="11"/>
      <color rgb="FF0000FF"/>
      <name val="ＭＳ ゴシック"/>
      <family val="3"/>
      <charset val="128"/>
    </font>
    <font>
      <sz val="11"/>
      <color rgb="FF000000"/>
      <name val="ＭＳ Ｐゴシック"/>
      <family val="2"/>
      <charset val="128"/>
    </font>
    <font>
      <sz val="11"/>
      <color rgb="FF000000"/>
      <name val="游ゴシック"/>
      <family val="3"/>
      <charset val="128"/>
      <scheme val="minor"/>
    </font>
    <font>
      <sz val="11"/>
      <color rgb="FFFF0000"/>
      <name val="Arial"/>
      <family val="2"/>
      <charset val="128"/>
    </font>
    <font>
      <sz val="11"/>
      <color rgb="FFFF0000"/>
      <name val="ＭＳ Ｐゴシック"/>
      <family val="2"/>
      <charset val="128"/>
    </font>
    <font>
      <sz val="11"/>
      <color rgb="FF008000"/>
      <name val="ＭＳ Ｐゴシック"/>
      <family val="3"/>
      <charset val="128"/>
    </font>
    <font>
      <b/>
      <sz val="11"/>
      <color theme="1"/>
      <name val="ＭＳ Ｐゴシック"/>
      <family val="3"/>
      <charset val="128"/>
    </font>
    <font>
      <b/>
      <sz val="12"/>
      <color theme="1"/>
      <name val="ＭＳ Ｐゴシック"/>
      <family val="3"/>
      <charset val="128"/>
    </font>
    <font>
      <b/>
      <sz val="12"/>
      <color theme="1"/>
      <name val="游ゴシック"/>
      <family val="3"/>
      <charset val="128"/>
      <scheme val="minor"/>
    </font>
    <font>
      <sz val="11"/>
      <color rgb="FF000000"/>
      <name val="ＭＳ ゴシック"/>
      <family val="3"/>
      <charset val="128"/>
    </font>
    <font>
      <b/>
      <sz val="12"/>
      <color theme="1"/>
      <name val="Arial"/>
      <family val="2"/>
    </font>
    <font>
      <b/>
      <sz val="12"/>
      <color theme="1"/>
      <name val="Segoe UI Symbol"/>
      <family val="2"/>
    </font>
    <font>
      <b/>
      <sz val="12"/>
      <color theme="1"/>
      <name val="ＭＳ Ｐゴシック"/>
      <family val="2"/>
      <charset val="128"/>
    </font>
    <font>
      <b/>
      <sz val="12"/>
      <color theme="1"/>
      <name val="Yu Gothic"/>
      <family val="2"/>
      <charset val="128"/>
    </font>
    <font>
      <b/>
      <u/>
      <sz val="14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1"/>
      <color rgb="FF000000"/>
      <name val="Arial"/>
      <family val="2"/>
    </font>
    <font>
      <b/>
      <sz val="11"/>
      <color rgb="FF000000"/>
      <name val="ＭＳ Ｐゴシック"/>
      <family val="3"/>
      <charset val="128"/>
    </font>
    <font>
      <sz val="11"/>
      <color theme="1"/>
      <name val="游ゴシック"/>
      <family val="3"/>
      <charset val="128"/>
      <scheme val="minor"/>
    </font>
    <font>
      <u/>
      <sz val="11"/>
      <color theme="1"/>
      <name val="游ゴシック"/>
      <family val="3"/>
      <charset val="128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C99"/>
        <bgColor indexed="64"/>
      </patternFill>
    </fill>
  </fills>
  <borders count="3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rgb="FFFF0000"/>
      </right>
      <top style="hair">
        <color auto="1"/>
      </top>
      <bottom style="medium">
        <color auto="1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rgb="FFFF0000"/>
      </right>
      <top style="hair">
        <color auto="1"/>
      </top>
      <bottom style="hair">
        <color auto="1"/>
      </bottom>
      <diagonal/>
    </border>
    <border>
      <left style="medium">
        <color rgb="FFFF0000"/>
      </left>
      <right/>
      <top style="medium">
        <color rgb="FFFF0000"/>
      </top>
      <bottom style="hair">
        <color auto="1"/>
      </bottom>
      <diagonal/>
    </border>
    <border>
      <left style="medium">
        <color rgb="FFFF0000"/>
      </left>
      <right/>
      <top style="hair">
        <color auto="1"/>
      </top>
      <bottom style="medium">
        <color rgb="FFFF0000"/>
      </bottom>
      <diagonal/>
    </border>
    <border>
      <left/>
      <right/>
      <top style="medium">
        <color rgb="FFFF0000"/>
      </top>
      <bottom style="hair">
        <color auto="1"/>
      </bottom>
      <diagonal/>
    </border>
    <border>
      <left/>
      <right/>
      <top style="hair">
        <color auto="1"/>
      </top>
      <bottom style="medium">
        <color rgb="FFFF0000"/>
      </bottom>
      <diagonal/>
    </border>
    <border>
      <left/>
      <right/>
      <top style="medium">
        <color theme="2"/>
      </top>
      <bottom style="medium">
        <color auto="1"/>
      </bottom>
      <diagonal/>
    </border>
    <border>
      <left/>
      <right style="medium">
        <color rgb="FFFF0000"/>
      </right>
      <top style="medium">
        <color rgb="FFFF0000"/>
      </top>
      <bottom style="medium">
        <color theme="2"/>
      </bottom>
      <diagonal/>
    </border>
    <border>
      <left/>
      <right style="medium">
        <color rgb="FFFF0000"/>
      </right>
      <top style="medium">
        <color theme="2"/>
      </top>
      <bottom style="medium">
        <color rgb="FFFF0000"/>
      </bottom>
      <diagonal/>
    </border>
    <border>
      <left/>
      <right/>
      <top style="medium">
        <color theme="2"/>
      </top>
      <bottom style="medium">
        <color theme="2"/>
      </bottom>
      <diagonal/>
    </border>
    <border>
      <left/>
      <right/>
      <top/>
      <bottom style="medium">
        <color theme="2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</borders>
  <cellStyleXfs count="3">
    <xf numFmtId="0" fontId="0" fillId="0" borderId="0">
      <alignment vertical="center"/>
    </xf>
    <xf numFmtId="0" fontId="1" fillId="0" borderId="0"/>
    <xf numFmtId="38" fontId="1" fillId="0" borderId="0" applyFont="0" applyFill="0" applyBorder="0" applyAlignment="0" applyProtection="0">
      <alignment vertical="center"/>
    </xf>
  </cellStyleXfs>
  <cellXfs count="404">
    <xf numFmtId="0" fontId="0" fillId="0" borderId="0" xfId="0">
      <alignment vertical="center"/>
    </xf>
    <xf numFmtId="0" fontId="1" fillId="0" borderId="0" xfId="1"/>
    <xf numFmtId="0" fontId="3" fillId="0" borderId="0" xfId="1" applyFont="1" applyAlignment="1">
      <alignment vertical="center"/>
    </xf>
    <xf numFmtId="0" fontId="4" fillId="2" borderId="1" xfId="1" applyFont="1" applyFill="1" applyBorder="1" applyAlignment="1">
      <alignment horizontal="left" vertical="center"/>
    </xf>
    <xf numFmtId="0" fontId="4" fillId="2" borderId="1" xfId="1" applyFont="1" applyFill="1" applyBorder="1" applyAlignment="1">
      <alignment horizontal="right" vertical="center"/>
    </xf>
    <xf numFmtId="0" fontId="5" fillId="2" borderId="0" xfId="1" applyFont="1" applyFill="1" applyAlignment="1">
      <alignment horizontal="left" vertical="center"/>
    </xf>
    <xf numFmtId="0" fontId="4" fillId="2" borderId="0" xfId="1" applyFont="1" applyFill="1" applyAlignment="1">
      <alignment horizontal="right" vertical="center"/>
    </xf>
    <xf numFmtId="0" fontId="5" fillId="2" borderId="0" xfId="1" applyFont="1" applyFill="1" applyAlignment="1">
      <alignment horizontal="right" vertical="center"/>
    </xf>
    <xf numFmtId="0" fontId="4" fillId="2" borderId="2" xfId="1" applyFont="1" applyFill="1" applyBorder="1" applyAlignment="1">
      <alignment horizontal="left" vertical="center"/>
    </xf>
    <xf numFmtId="0" fontId="5" fillId="2" borderId="2" xfId="1" applyFont="1" applyFill="1" applyBorder="1" applyAlignment="1">
      <alignment horizontal="left" vertical="center"/>
    </xf>
    <xf numFmtId="0" fontId="3" fillId="2" borderId="3" xfId="1" applyFont="1" applyFill="1" applyBorder="1" applyAlignment="1">
      <alignment horizontal="left" vertical="center"/>
    </xf>
    <xf numFmtId="176" fontId="8" fillId="2" borderId="3" xfId="1" applyNumberFormat="1" applyFont="1" applyFill="1" applyBorder="1" applyAlignment="1">
      <alignment horizontal="left" vertical="center"/>
    </xf>
    <xf numFmtId="0" fontId="7" fillId="2" borderId="4" xfId="1" applyFont="1" applyFill="1" applyBorder="1" applyAlignment="1">
      <alignment horizontal="left" vertical="center"/>
    </xf>
    <xf numFmtId="0" fontId="7" fillId="2" borderId="3" xfId="1" applyFont="1" applyFill="1" applyBorder="1" applyAlignment="1">
      <alignment horizontal="left" vertical="center"/>
    </xf>
    <xf numFmtId="0" fontId="3" fillId="0" borderId="5" xfId="1" applyFont="1" applyBorder="1" applyAlignment="1">
      <alignment vertical="center"/>
    </xf>
    <xf numFmtId="176" fontId="3" fillId="0" borderId="5" xfId="1" applyNumberFormat="1" applyFont="1" applyBorder="1" applyAlignment="1">
      <alignment vertical="center"/>
    </xf>
    <xf numFmtId="0" fontId="3" fillId="0" borderId="0" xfId="1" applyFont="1" applyAlignment="1">
      <alignment horizontal="left" vertical="center"/>
    </xf>
    <xf numFmtId="3" fontId="3" fillId="0" borderId="6" xfId="1" applyNumberFormat="1" applyFont="1" applyBorder="1" applyAlignment="1">
      <alignment vertical="center"/>
    </xf>
    <xf numFmtId="0" fontId="7" fillId="0" borderId="6" xfId="1" applyFont="1" applyBorder="1" applyAlignment="1">
      <alignment vertical="center"/>
    </xf>
    <xf numFmtId="0" fontId="3" fillId="0" borderId="6" xfId="1" applyFont="1" applyBorder="1" applyAlignment="1">
      <alignment horizontal="left" vertical="center"/>
    </xf>
    <xf numFmtId="3" fontId="3" fillId="0" borderId="3" xfId="1" applyNumberFormat="1" applyFont="1" applyBorder="1" applyAlignment="1">
      <alignment vertical="center"/>
    </xf>
    <xf numFmtId="0" fontId="7" fillId="0" borderId="3" xfId="1" applyFont="1" applyBorder="1" applyAlignment="1">
      <alignment vertical="center"/>
    </xf>
    <xf numFmtId="0" fontId="3" fillId="0" borderId="3" xfId="1" applyFont="1" applyBorder="1" applyAlignment="1">
      <alignment horizontal="left" vertical="center"/>
    </xf>
    <xf numFmtId="3" fontId="7" fillId="0" borderId="5" xfId="1" applyNumberFormat="1" applyFont="1" applyBorder="1" applyAlignment="1">
      <alignment vertical="center"/>
    </xf>
    <xf numFmtId="0" fontId="3" fillId="0" borderId="5" xfId="1" applyFont="1" applyBorder="1" applyAlignment="1">
      <alignment horizontal="left" vertical="center"/>
    </xf>
    <xf numFmtId="0" fontId="5" fillId="2" borderId="1" xfId="1" applyFont="1" applyFill="1" applyBorder="1" applyAlignment="1">
      <alignment horizontal="left" vertical="center"/>
    </xf>
    <xf numFmtId="0" fontId="5" fillId="2" borderId="2" xfId="1" applyFont="1" applyFill="1" applyBorder="1" applyAlignment="1">
      <alignment horizontal="right" vertical="center"/>
    </xf>
    <xf numFmtId="176" fontId="8" fillId="2" borderId="3" xfId="1" applyNumberFormat="1" applyFont="1" applyFill="1" applyBorder="1" applyAlignment="1">
      <alignment horizontal="right" vertical="center"/>
    </xf>
    <xf numFmtId="3" fontId="3" fillId="3" borderId="0" xfId="2" applyNumberFormat="1" applyFont="1" applyFill="1">
      <alignment vertical="center"/>
    </xf>
    <xf numFmtId="3" fontId="7" fillId="3" borderId="1" xfId="2" applyNumberFormat="1" applyFont="1" applyFill="1" applyBorder="1">
      <alignment vertical="center"/>
    </xf>
    <xf numFmtId="3" fontId="3" fillId="3" borderId="1" xfId="2" applyNumberFormat="1" applyFont="1" applyFill="1" applyBorder="1">
      <alignment vertical="center"/>
    </xf>
    <xf numFmtId="3" fontId="3" fillId="3" borderId="2" xfId="2" applyNumberFormat="1" applyFont="1" applyFill="1" applyBorder="1">
      <alignment vertical="center"/>
    </xf>
    <xf numFmtId="3" fontId="3" fillId="3" borderId="0" xfId="2" applyNumberFormat="1" applyFont="1" applyFill="1" applyAlignment="1">
      <alignment horizontal="right" vertical="center"/>
    </xf>
    <xf numFmtId="3" fontId="3" fillId="3" borderId="2" xfId="2" applyNumberFormat="1" applyFont="1" applyFill="1" applyBorder="1" applyAlignment="1">
      <alignment horizontal="right" vertical="center"/>
    </xf>
    <xf numFmtId="3" fontId="9" fillId="3" borderId="5" xfId="2" applyNumberFormat="1" applyFont="1" applyFill="1" applyBorder="1">
      <alignment vertical="center"/>
    </xf>
    <xf numFmtId="3" fontId="7" fillId="3" borderId="2" xfId="2" applyNumberFormat="1" applyFont="1" applyFill="1" applyBorder="1" applyAlignment="1">
      <alignment horizontal="right" vertical="center"/>
    </xf>
    <xf numFmtId="3" fontId="9" fillId="3" borderId="3" xfId="2" applyNumberFormat="1" applyFont="1" applyFill="1" applyBorder="1">
      <alignment vertical="center"/>
    </xf>
    <xf numFmtId="3" fontId="12" fillId="3" borderId="0" xfId="2" applyNumberFormat="1" applyFont="1" applyFill="1">
      <alignment vertical="center"/>
    </xf>
    <xf numFmtId="14" fontId="3" fillId="3" borderId="0" xfId="1" applyNumberFormat="1" applyFont="1" applyFill="1" applyAlignment="1">
      <alignment vertical="center"/>
    </xf>
    <xf numFmtId="3" fontId="3" fillId="3" borderId="0" xfId="1" applyNumberFormat="1" applyFont="1" applyFill="1" applyAlignment="1">
      <alignment vertical="center"/>
    </xf>
    <xf numFmtId="14" fontId="7" fillId="0" borderId="1" xfId="1" applyNumberFormat="1" applyFont="1" applyBorder="1" applyAlignment="1">
      <alignment vertical="center"/>
    </xf>
    <xf numFmtId="14" fontId="3" fillId="0" borderId="1" xfId="1" applyNumberFormat="1" applyFont="1" applyBorder="1" applyAlignment="1">
      <alignment vertical="center"/>
    </xf>
    <xf numFmtId="3" fontId="3" fillId="0" borderId="1" xfId="1" applyNumberFormat="1" applyFont="1" applyBorder="1" applyAlignment="1">
      <alignment vertical="center"/>
    </xf>
    <xf numFmtId="14" fontId="7" fillId="0" borderId="2" xfId="1" applyNumberFormat="1" applyFont="1" applyBorder="1" applyAlignment="1">
      <alignment vertical="center"/>
    </xf>
    <xf numFmtId="14" fontId="7" fillId="0" borderId="2" xfId="1" applyNumberFormat="1" applyFont="1" applyBorder="1" applyAlignment="1">
      <alignment horizontal="right" vertical="center"/>
    </xf>
    <xf numFmtId="3" fontId="7" fillId="0" borderId="0" xfId="1" applyNumberFormat="1" applyFont="1" applyAlignment="1">
      <alignment horizontal="left" vertical="center"/>
    </xf>
    <xf numFmtId="3" fontId="3" fillId="0" borderId="2" xfId="1" applyNumberFormat="1" applyFont="1" applyBorder="1" applyAlignment="1">
      <alignment vertical="center"/>
    </xf>
    <xf numFmtId="14" fontId="10" fillId="3" borderId="3" xfId="1" applyNumberFormat="1" applyFont="1" applyFill="1" applyBorder="1" applyAlignment="1">
      <alignment vertical="center"/>
    </xf>
    <xf numFmtId="3" fontId="10" fillId="3" borderId="3" xfId="1" applyNumberFormat="1" applyFont="1" applyFill="1" applyBorder="1" applyAlignment="1">
      <alignment horizontal="right" vertical="center"/>
    </xf>
    <xf numFmtId="3" fontId="8" fillId="3" borderId="3" xfId="1" applyNumberFormat="1" applyFont="1" applyFill="1" applyBorder="1" applyAlignment="1">
      <alignment horizontal="right" vertical="center"/>
    </xf>
    <xf numFmtId="3" fontId="3" fillId="3" borderId="8" xfId="1" applyNumberFormat="1" applyFont="1" applyFill="1" applyBorder="1" applyAlignment="1">
      <alignment horizontal="left" vertical="center"/>
    </xf>
    <xf numFmtId="3" fontId="3" fillId="3" borderId="9" xfId="1" applyNumberFormat="1" applyFont="1" applyFill="1" applyBorder="1" applyAlignment="1">
      <alignment horizontal="left" vertical="center"/>
    </xf>
    <xf numFmtId="3" fontId="3" fillId="3" borderId="3" xfId="1" applyNumberFormat="1" applyFont="1" applyFill="1" applyBorder="1" applyAlignment="1">
      <alignment vertical="center"/>
    </xf>
    <xf numFmtId="14" fontId="3" fillId="3" borderId="5" xfId="1" applyNumberFormat="1" applyFont="1" applyFill="1" applyBorder="1" applyAlignment="1">
      <alignment vertical="center"/>
    </xf>
    <xf numFmtId="14" fontId="3" fillId="3" borderId="10" xfId="1" applyNumberFormat="1" applyFont="1" applyFill="1" applyBorder="1" applyAlignment="1">
      <alignment vertical="center"/>
    </xf>
    <xf numFmtId="3" fontId="3" fillId="3" borderId="10" xfId="1" applyNumberFormat="1" applyFont="1" applyFill="1" applyBorder="1" applyAlignment="1">
      <alignment horizontal="left" vertical="center"/>
    </xf>
    <xf numFmtId="3" fontId="3" fillId="3" borderId="5" xfId="1" applyNumberFormat="1" applyFont="1" applyFill="1" applyBorder="1" applyAlignment="1">
      <alignment vertical="center"/>
    </xf>
    <xf numFmtId="3" fontId="3" fillId="3" borderId="0" xfId="1" applyNumberFormat="1" applyFont="1" applyFill="1" applyAlignment="1">
      <alignment horizontal="left" vertical="center"/>
    </xf>
    <xf numFmtId="3" fontId="3" fillId="0" borderId="1" xfId="1" applyNumberFormat="1" applyFont="1" applyBorder="1" applyAlignment="1">
      <alignment horizontal="left" vertical="center"/>
    </xf>
    <xf numFmtId="3" fontId="7" fillId="0" borderId="2" xfId="1" applyNumberFormat="1" applyFont="1" applyBorder="1" applyAlignment="1">
      <alignment vertical="center"/>
    </xf>
    <xf numFmtId="3" fontId="7" fillId="0" borderId="2" xfId="1" applyNumberFormat="1" applyFont="1" applyBorder="1" applyAlignment="1">
      <alignment horizontal="left" vertical="center"/>
    </xf>
    <xf numFmtId="3" fontId="7" fillId="0" borderId="2" xfId="1" applyNumberFormat="1" applyFont="1" applyBorder="1" applyAlignment="1">
      <alignment horizontal="right" vertical="center"/>
    </xf>
    <xf numFmtId="3" fontId="11" fillId="3" borderId="3" xfId="1" applyNumberFormat="1" applyFont="1" applyFill="1" applyBorder="1" applyAlignment="1">
      <alignment vertical="center"/>
    </xf>
    <xf numFmtId="3" fontId="11" fillId="3" borderId="3" xfId="1" applyNumberFormat="1" applyFont="1" applyFill="1" applyBorder="1" applyAlignment="1">
      <alignment horizontal="right" vertical="center"/>
    </xf>
    <xf numFmtId="3" fontId="9" fillId="3" borderId="3" xfId="1" applyNumberFormat="1" applyFont="1" applyFill="1" applyBorder="1" applyAlignment="1">
      <alignment horizontal="right" vertical="center"/>
    </xf>
    <xf numFmtId="3" fontId="9" fillId="3" borderId="3" xfId="1" applyNumberFormat="1" applyFont="1" applyFill="1" applyBorder="1" applyAlignment="1">
      <alignment horizontal="left" vertical="center"/>
    </xf>
    <xf numFmtId="3" fontId="8" fillId="3" borderId="3" xfId="1" applyNumberFormat="1" applyFont="1" applyFill="1" applyBorder="1" applyAlignment="1">
      <alignment vertical="center"/>
    </xf>
    <xf numFmtId="3" fontId="11" fillId="3" borderId="5" xfId="1" applyNumberFormat="1" applyFont="1" applyFill="1" applyBorder="1" applyAlignment="1">
      <alignment vertical="center"/>
    </xf>
    <xf numFmtId="3" fontId="11" fillId="3" borderId="5" xfId="1" applyNumberFormat="1" applyFont="1" applyFill="1" applyBorder="1" applyAlignment="1">
      <alignment horizontal="right" vertical="center"/>
    </xf>
    <xf numFmtId="3" fontId="9" fillId="3" borderId="5" xfId="1" applyNumberFormat="1" applyFont="1" applyFill="1" applyBorder="1" applyAlignment="1">
      <alignment horizontal="right" vertical="center"/>
    </xf>
    <xf numFmtId="3" fontId="9" fillId="3" borderId="5" xfId="1" applyNumberFormat="1" applyFont="1" applyFill="1" applyBorder="1" applyAlignment="1">
      <alignment horizontal="left" vertical="center"/>
    </xf>
    <xf numFmtId="3" fontId="8" fillId="3" borderId="5" xfId="1" applyNumberFormat="1" applyFont="1" applyFill="1" applyBorder="1" applyAlignment="1">
      <alignment vertical="center"/>
    </xf>
    <xf numFmtId="177" fontId="3" fillId="3" borderId="0" xfId="1" applyNumberFormat="1" applyFont="1" applyFill="1" applyAlignment="1">
      <alignment horizontal="left" vertical="center"/>
    </xf>
    <xf numFmtId="177" fontId="7" fillId="3" borderId="1" xfId="1" applyNumberFormat="1" applyFont="1" applyFill="1" applyBorder="1" applyAlignment="1">
      <alignment horizontal="left" vertical="center"/>
    </xf>
    <xf numFmtId="3" fontId="3" fillId="3" borderId="1" xfId="1" applyNumberFormat="1" applyFont="1" applyFill="1" applyBorder="1" applyAlignment="1">
      <alignment vertical="center"/>
    </xf>
    <xf numFmtId="177" fontId="3" fillId="3" borderId="1" xfId="1" applyNumberFormat="1" applyFont="1" applyFill="1" applyBorder="1" applyAlignment="1">
      <alignment horizontal="left" vertical="center"/>
    </xf>
    <xf numFmtId="3" fontId="14" fillId="3" borderId="1" xfId="1" applyNumberFormat="1" applyFont="1" applyFill="1" applyBorder="1" applyAlignment="1">
      <alignment vertical="center"/>
    </xf>
    <xf numFmtId="177" fontId="7" fillId="3" borderId="2" xfId="1" applyNumberFormat="1" applyFont="1" applyFill="1" applyBorder="1" applyAlignment="1">
      <alignment horizontal="left" vertical="center"/>
    </xf>
    <xf numFmtId="3" fontId="7" fillId="3" borderId="2" xfId="1" applyNumberFormat="1" applyFont="1" applyFill="1" applyBorder="1" applyAlignment="1">
      <alignment vertical="center"/>
    </xf>
    <xf numFmtId="3" fontId="7" fillId="3" borderId="2" xfId="1" applyNumberFormat="1" applyFont="1" applyFill="1" applyBorder="1" applyAlignment="1">
      <alignment horizontal="right" vertical="center"/>
    </xf>
    <xf numFmtId="3" fontId="3" fillId="3" borderId="2" xfId="1" applyNumberFormat="1" applyFont="1" applyFill="1" applyBorder="1" applyAlignment="1">
      <alignment vertical="center"/>
    </xf>
    <xf numFmtId="3" fontId="7" fillId="3" borderId="0" xfId="1" applyNumberFormat="1" applyFont="1" applyFill="1" applyAlignment="1">
      <alignment horizontal="right" vertical="center"/>
    </xf>
    <xf numFmtId="177" fontId="9" fillId="3" borderId="3" xfId="1" applyNumberFormat="1" applyFont="1" applyFill="1" applyBorder="1" applyAlignment="1">
      <alignment horizontal="left" vertical="center"/>
    </xf>
    <xf numFmtId="3" fontId="9" fillId="3" borderId="3" xfId="1" applyNumberFormat="1" applyFont="1" applyFill="1" applyBorder="1" applyAlignment="1">
      <alignment vertical="center"/>
    </xf>
    <xf numFmtId="3" fontId="10" fillId="3" borderId="11" xfId="1" applyNumberFormat="1" applyFont="1" applyFill="1" applyBorder="1" applyAlignment="1">
      <alignment vertical="center"/>
    </xf>
    <xf numFmtId="3" fontId="3" fillId="3" borderId="12" xfId="1" applyNumberFormat="1" applyFont="1" applyFill="1" applyBorder="1" applyAlignment="1">
      <alignment vertical="center"/>
    </xf>
    <xf numFmtId="3" fontId="10" fillId="3" borderId="7" xfId="1" applyNumberFormat="1" applyFont="1" applyFill="1" applyBorder="1" applyAlignment="1">
      <alignment vertical="center"/>
    </xf>
    <xf numFmtId="3" fontId="3" fillId="3" borderId="13" xfId="1" applyNumberFormat="1" applyFont="1" applyFill="1" applyBorder="1" applyAlignment="1">
      <alignment vertical="center"/>
    </xf>
    <xf numFmtId="177" fontId="9" fillId="3" borderId="5" xfId="1" applyNumberFormat="1" applyFont="1" applyFill="1" applyBorder="1" applyAlignment="1">
      <alignment horizontal="left" vertical="center"/>
    </xf>
    <xf numFmtId="3" fontId="9" fillId="3" borderId="5" xfId="1" applyNumberFormat="1" applyFont="1" applyFill="1" applyBorder="1" applyAlignment="1">
      <alignment vertical="center"/>
    </xf>
    <xf numFmtId="3" fontId="14" fillId="3" borderId="0" xfId="1" applyNumberFormat="1" applyFont="1" applyFill="1" applyAlignment="1">
      <alignment vertical="center"/>
    </xf>
    <xf numFmtId="0" fontId="3" fillId="0" borderId="1" xfId="1" applyFont="1" applyBorder="1" applyAlignment="1">
      <alignment vertical="center"/>
    </xf>
    <xf numFmtId="0" fontId="3" fillId="0" borderId="2" xfId="1" applyFont="1" applyBorder="1" applyAlignment="1">
      <alignment vertical="center"/>
    </xf>
    <xf numFmtId="3" fontId="9" fillId="0" borderId="3" xfId="1" applyNumberFormat="1" applyFont="1" applyBorder="1" applyAlignment="1">
      <alignment vertical="center"/>
    </xf>
    <xf numFmtId="3" fontId="9" fillId="0" borderId="5" xfId="1" applyNumberFormat="1" applyFont="1" applyBorder="1" applyAlignment="1">
      <alignment vertical="center"/>
    </xf>
    <xf numFmtId="0" fontId="7" fillId="0" borderId="0" xfId="1" applyFont="1" applyAlignment="1">
      <alignment vertical="center"/>
    </xf>
    <xf numFmtId="0" fontId="7" fillId="0" borderId="0" xfId="1" applyFont="1" applyAlignment="1">
      <alignment horizontal="right" vertical="center"/>
    </xf>
    <xf numFmtId="3" fontId="11" fillId="0" borderId="0" xfId="1" applyNumberFormat="1" applyFont="1" applyAlignment="1">
      <alignment horizontal="left" vertical="center"/>
    </xf>
    <xf numFmtId="3" fontId="9" fillId="0" borderId="0" xfId="1" applyNumberFormat="1" applyFont="1" applyAlignment="1">
      <alignment vertical="center"/>
    </xf>
    <xf numFmtId="0" fontId="1" fillId="0" borderId="0" xfId="1" applyAlignment="1">
      <alignment horizontal="left"/>
    </xf>
    <xf numFmtId="0" fontId="1" fillId="0" borderId="0" xfId="1" applyAlignment="1">
      <alignment horizontal="left" indent="1"/>
    </xf>
    <xf numFmtId="3" fontId="3" fillId="3" borderId="14" xfId="1" applyNumberFormat="1" applyFont="1" applyFill="1" applyBorder="1" applyAlignment="1">
      <alignment vertical="center"/>
    </xf>
    <xf numFmtId="3" fontId="7" fillId="3" borderId="0" xfId="1" applyNumberFormat="1" applyFont="1" applyFill="1" applyAlignment="1">
      <alignment vertical="center"/>
    </xf>
    <xf numFmtId="3" fontId="3" fillId="3" borderId="15" xfId="1" applyNumberFormat="1" applyFont="1" applyFill="1" applyBorder="1" applyAlignment="1">
      <alignment vertical="center"/>
    </xf>
    <xf numFmtId="0" fontId="3" fillId="3" borderId="0" xfId="1" applyFont="1" applyFill="1" applyAlignment="1">
      <alignment vertical="center"/>
    </xf>
    <xf numFmtId="0" fontId="7" fillId="3" borderId="1" xfId="1" applyFont="1" applyFill="1" applyBorder="1" applyAlignment="1">
      <alignment vertical="center"/>
    </xf>
    <xf numFmtId="0" fontId="3" fillId="3" borderId="2" xfId="1" applyFont="1" applyFill="1" applyBorder="1" applyAlignment="1">
      <alignment vertical="center"/>
    </xf>
    <xf numFmtId="0" fontId="3" fillId="3" borderId="3" xfId="1" applyFont="1" applyFill="1" applyBorder="1" applyAlignment="1">
      <alignment vertical="center"/>
    </xf>
    <xf numFmtId="0" fontId="7" fillId="3" borderId="0" xfId="1" applyFont="1" applyFill="1" applyAlignment="1">
      <alignment vertical="center"/>
    </xf>
    <xf numFmtId="0" fontId="12" fillId="0" borderId="0" xfId="1" applyFont="1" applyAlignment="1">
      <alignment vertical="center"/>
    </xf>
    <xf numFmtId="0" fontId="12" fillId="0" borderId="1" xfId="1" applyFont="1" applyBorder="1" applyAlignment="1">
      <alignment vertical="center"/>
    </xf>
    <xf numFmtId="0" fontId="12" fillId="0" borderId="2" xfId="1" applyFont="1" applyBorder="1" applyAlignment="1">
      <alignment vertical="center"/>
    </xf>
    <xf numFmtId="0" fontId="15" fillId="4" borderId="2" xfId="1" applyFont="1" applyFill="1" applyBorder="1" applyAlignment="1">
      <alignment vertical="center"/>
    </xf>
    <xf numFmtId="178" fontId="3" fillId="0" borderId="3" xfId="1" applyNumberFormat="1" applyFont="1" applyBorder="1" applyAlignment="1">
      <alignment horizontal="left" vertical="center"/>
    </xf>
    <xf numFmtId="0" fontId="9" fillId="0" borderId="3" xfId="1" applyFont="1" applyBorder="1" applyAlignment="1">
      <alignment horizontal="left" vertical="center"/>
    </xf>
    <xf numFmtId="0" fontId="12" fillId="0" borderId="3" xfId="1" applyFont="1" applyBorder="1" applyAlignment="1">
      <alignment vertical="center"/>
    </xf>
    <xf numFmtId="178" fontId="3" fillId="0" borderId="5" xfId="1" applyNumberFormat="1" applyFont="1" applyBorder="1" applyAlignment="1">
      <alignment horizontal="left" vertical="center"/>
    </xf>
    <xf numFmtId="0" fontId="12" fillId="0" borderId="5" xfId="1" applyFont="1" applyBorder="1" applyAlignment="1">
      <alignment vertical="center"/>
    </xf>
    <xf numFmtId="178" fontId="3" fillId="0" borderId="0" xfId="1" applyNumberFormat="1" applyFont="1" applyAlignment="1">
      <alignment horizontal="left" vertical="center"/>
    </xf>
    <xf numFmtId="0" fontId="16" fillId="0" borderId="0" xfId="1" applyFont="1" applyAlignment="1">
      <alignment vertical="center"/>
    </xf>
    <xf numFmtId="0" fontId="3" fillId="0" borderId="0" xfId="1" applyFont="1" applyAlignment="1">
      <alignment horizontal="right" vertical="center"/>
    </xf>
    <xf numFmtId="0" fontId="12" fillId="0" borderId="0" xfId="1" applyFont="1" applyAlignment="1">
      <alignment horizontal="left" vertical="center"/>
    </xf>
    <xf numFmtId="0" fontId="12" fillId="0" borderId="2" xfId="1" applyFont="1" applyBorder="1" applyAlignment="1">
      <alignment horizontal="left" vertical="center"/>
    </xf>
    <xf numFmtId="0" fontId="3" fillId="0" borderId="3" xfId="1" applyFont="1" applyBorder="1" applyAlignment="1">
      <alignment vertical="center"/>
    </xf>
    <xf numFmtId="9" fontId="3" fillId="0" borderId="3" xfId="1" applyNumberFormat="1" applyFont="1" applyBorder="1" applyAlignment="1">
      <alignment horizontal="left" vertical="center"/>
    </xf>
    <xf numFmtId="0" fontId="12" fillId="0" borderId="3" xfId="1" applyFont="1" applyBorder="1" applyAlignment="1">
      <alignment horizontal="left" vertical="center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left" vertical="center"/>
    </xf>
    <xf numFmtId="9" fontId="3" fillId="0" borderId="5" xfId="1" applyNumberFormat="1" applyFont="1" applyBorder="1" applyAlignment="1">
      <alignment horizontal="left" vertical="center"/>
    </xf>
    <xf numFmtId="0" fontId="3" fillId="3" borderId="1" xfId="1" applyFont="1" applyFill="1" applyBorder="1" applyAlignment="1">
      <alignment horizontal="centerContinuous" vertical="center"/>
    </xf>
    <xf numFmtId="179" fontId="3" fillId="3" borderId="0" xfId="1" applyNumberFormat="1" applyFont="1" applyFill="1" applyAlignment="1">
      <alignment vertical="center"/>
    </xf>
    <xf numFmtId="3" fontId="19" fillId="3" borderId="0" xfId="1" applyNumberFormat="1" applyFont="1" applyFill="1" applyAlignment="1">
      <alignment vertical="center"/>
    </xf>
    <xf numFmtId="0" fontId="3" fillId="3" borderId="2" xfId="1" applyFont="1" applyFill="1" applyBorder="1" applyAlignment="1">
      <alignment horizontal="centerContinuous" vertical="center"/>
    </xf>
    <xf numFmtId="0" fontId="3" fillId="3" borderId="0" xfId="1" applyFont="1" applyFill="1" applyAlignment="1">
      <alignment horizontal="right" vertical="center"/>
    </xf>
    <xf numFmtId="4" fontId="3" fillId="3" borderId="0" xfId="1" applyNumberFormat="1" applyFont="1" applyFill="1" applyAlignment="1">
      <alignment vertical="center"/>
    </xf>
    <xf numFmtId="9" fontId="3" fillId="3" borderId="3" xfId="1" applyNumberFormat="1" applyFont="1" applyFill="1" applyBorder="1" applyAlignment="1">
      <alignment vertical="center"/>
    </xf>
    <xf numFmtId="0" fontId="3" fillId="0" borderId="10" xfId="1" applyFont="1" applyBorder="1" applyAlignment="1">
      <alignment vertical="center"/>
    </xf>
    <xf numFmtId="3" fontId="3" fillId="0" borderId="10" xfId="1" applyNumberFormat="1" applyFont="1" applyBorder="1" applyAlignment="1">
      <alignment vertical="center"/>
    </xf>
    <xf numFmtId="3" fontId="21" fillId="0" borderId="6" xfId="1" applyNumberFormat="1" applyFont="1" applyBorder="1" applyAlignment="1">
      <alignment vertical="center"/>
    </xf>
    <xf numFmtId="3" fontId="21" fillId="0" borderId="6" xfId="1" applyNumberFormat="1" applyFont="1" applyBorder="1" applyAlignment="1">
      <alignment horizontal="right" vertical="center"/>
    </xf>
    <xf numFmtId="0" fontId="12" fillId="0" borderId="6" xfId="1" applyFont="1" applyBorder="1" applyAlignment="1">
      <alignment horizontal="right" vertical="center"/>
    </xf>
    <xf numFmtId="0" fontId="12" fillId="0" borderId="6" xfId="1" applyFont="1" applyBorder="1" applyAlignment="1">
      <alignment vertical="center"/>
    </xf>
    <xf numFmtId="3" fontId="17" fillId="0" borderId="3" xfId="1" applyNumberFormat="1" applyFont="1" applyBorder="1" applyAlignment="1">
      <alignment vertical="center"/>
    </xf>
    <xf numFmtId="3" fontId="17" fillId="0" borderId="5" xfId="1" applyNumberFormat="1" applyFont="1" applyBorder="1" applyAlignment="1">
      <alignment vertical="center"/>
    </xf>
    <xf numFmtId="3" fontId="3" fillId="0" borderId="0" xfId="1" applyNumberFormat="1" applyFont="1" applyAlignment="1">
      <alignment vertical="center"/>
    </xf>
    <xf numFmtId="0" fontId="12" fillId="0" borderId="1" xfId="1" applyFont="1" applyBorder="1" applyAlignment="1">
      <alignment horizontal="right" vertical="center"/>
    </xf>
    <xf numFmtId="0" fontId="12" fillId="0" borderId="4" xfId="1" applyFont="1" applyBorder="1" applyAlignment="1">
      <alignment horizontal="right" vertical="center"/>
    </xf>
    <xf numFmtId="3" fontId="3" fillId="0" borderId="5" xfId="1" applyNumberFormat="1" applyFont="1" applyBorder="1" applyAlignment="1">
      <alignment vertical="center"/>
    </xf>
    <xf numFmtId="0" fontId="17" fillId="0" borderId="3" xfId="1" applyFont="1" applyBorder="1" applyAlignment="1">
      <alignment vertical="center"/>
    </xf>
    <xf numFmtId="0" fontId="17" fillId="0" borderId="5" xfId="1" applyFont="1" applyBorder="1" applyAlignment="1">
      <alignment vertical="center"/>
    </xf>
    <xf numFmtId="3" fontId="11" fillId="6" borderId="3" xfId="2" applyNumberFormat="1" applyFont="1" applyFill="1" applyBorder="1">
      <alignment vertical="center"/>
    </xf>
    <xf numFmtId="3" fontId="11" fillId="6" borderId="5" xfId="2" applyNumberFormat="1" applyFont="1" applyFill="1" applyBorder="1">
      <alignment vertical="center"/>
    </xf>
    <xf numFmtId="3" fontId="7" fillId="3" borderId="6" xfId="2" applyNumberFormat="1" applyFont="1" applyFill="1" applyBorder="1">
      <alignment vertical="center"/>
    </xf>
    <xf numFmtId="3" fontId="3" fillId="3" borderId="6" xfId="2" applyNumberFormat="1" applyFont="1" applyFill="1" applyBorder="1">
      <alignment vertical="center"/>
    </xf>
    <xf numFmtId="3" fontId="18" fillId="3" borderId="5" xfId="2" applyNumberFormat="1" applyFont="1" applyFill="1" applyBorder="1">
      <alignment vertical="center"/>
    </xf>
    <xf numFmtId="3" fontId="21" fillId="3" borderId="5" xfId="2" applyNumberFormat="1" applyFont="1" applyFill="1" applyBorder="1">
      <alignment vertical="center"/>
    </xf>
    <xf numFmtId="3" fontId="3" fillId="3" borderId="5" xfId="2" applyNumberFormat="1" applyFont="1" applyFill="1" applyBorder="1" applyAlignment="1">
      <alignment horizontal="right" vertical="center"/>
    </xf>
    <xf numFmtId="3" fontId="12" fillId="3" borderId="1" xfId="2" applyNumberFormat="1" applyFont="1" applyFill="1" applyBorder="1">
      <alignment vertical="center"/>
    </xf>
    <xf numFmtId="3" fontId="3" fillId="6" borderId="2" xfId="2" applyNumberFormat="1" applyFont="1" applyFill="1" applyBorder="1" applyAlignment="1">
      <alignment horizontal="right" vertical="center"/>
    </xf>
    <xf numFmtId="3" fontId="11" fillId="0" borderId="5" xfId="2" applyNumberFormat="1" applyFont="1" applyBorder="1">
      <alignment vertical="center"/>
    </xf>
    <xf numFmtId="3" fontId="22" fillId="3" borderId="3" xfId="2" applyNumberFormat="1" applyFont="1" applyFill="1" applyBorder="1" applyAlignment="1">
      <alignment horizontal="left" vertical="center"/>
    </xf>
    <xf numFmtId="3" fontId="12" fillId="3" borderId="3" xfId="2" applyNumberFormat="1" applyFont="1" applyFill="1" applyBorder="1" applyAlignment="1">
      <alignment horizontal="left" vertical="center"/>
    </xf>
    <xf numFmtId="3" fontId="3" fillId="3" borderId="3" xfId="2" applyNumberFormat="1" applyFont="1" applyFill="1" applyBorder="1" applyAlignment="1">
      <alignment horizontal="right" vertical="center"/>
    </xf>
    <xf numFmtId="3" fontId="18" fillId="3" borderId="3" xfId="2" applyNumberFormat="1" applyFont="1" applyFill="1" applyBorder="1">
      <alignment vertical="center"/>
    </xf>
    <xf numFmtId="3" fontId="21" fillId="3" borderId="3" xfId="2" applyNumberFormat="1" applyFont="1" applyFill="1" applyBorder="1">
      <alignment vertical="center"/>
    </xf>
    <xf numFmtId="3" fontId="12" fillId="3" borderId="5" xfId="2" applyNumberFormat="1" applyFont="1" applyFill="1" applyBorder="1">
      <alignment vertical="center"/>
    </xf>
    <xf numFmtId="3" fontId="12" fillId="3" borderId="2" xfId="2" applyNumberFormat="1" applyFont="1" applyFill="1" applyBorder="1" applyAlignment="1">
      <alignment horizontal="right" vertical="center"/>
    </xf>
    <xf numFmtId="3" fontId="12" fillId="6" borderId="2" xfId="2" applyNumberFormat="1" applyFont="1" applyFill="1" applyBorder="1" applyAlignment="1">
      <alignment horizontal="right" vertical="center"/>
    </xf>
    <xf numFmtId="3" fontId="11" fillId="0" borderId="3" xfId="2" applyNumberFormat="1" applyFont="1" applyBorder="1">
      <alignment vertical="center"/>
    </xf>
    <xf numFmtId="3" fontId="11" fillId="4" borderId="3" xfId="2" applyNumberFormat="1" applyFont="1" applyFill="1" applyBorder="1">
      <alignment vertical="center"/>
    </xf>
    <xf numFmtId="0" fontId="3" fillId="3" borderId="0" xfId="1" applyFont="1" applyFill="1" applyAlignment="1">
      <alignment horizontal="left" vertical="center"/>
    </xf>
    <xf numFmtId="0" fontId="4" fillId="2" borderId="0" xfId="1" applyFont="1" applyFill="1" applyAlignment="1">
      <alignment horizontal="left" vertical="center"/>
    </xf>
    <xf numFmtId="0" fontId="23" fillId="2" borderId="2" xfId="1" applyFont="1" applyFill="1" applyBorder="1" applyAlignment="1">
      <alignment horizontal="left" vertical="center"/>
    </xf>
    <xf numFmtId="0" fontId="4" fillId="2" borderId="2" xfId="1" applyFont="1" applyFill="1" applyBorder="1" applyAlignment="1">
      <alignment horizontal="right" vertical="center"/>
    </xf>
    <xf numFmtId="176" fontId="4" fillId="2" borderId="3" xfId="1" applyNumberFormat="1" applyFont="1" applyFill="1" applyBorder="1" applyAlignment="1">
      <alignment horizontal="left" vertical="center"/>
    </xf>
    <xf numFmtId="176" fontId="9" fillId="2" borderId="3" xfId="1" applyNumberFormat="1" applyFont="1" applyFill="1" applyBorder="1" applyAlignment="1">
      <alignment horizontal="right" vertical="center"/>
    </xf>
    <xf numFmtId="0" fontId="7" fillId="2" borderId="5" xfId="1" applyFont="1" applyFill="1" applyBorder="1" applyAlignment="1">
      <alignment horizontal="left" vertical="center"/>
    </xf>
    <xf numFmtId="176" fontId="4" fillId="2" borderId="5" xfId="1" applyNumberFormat="1" applyFont="1" applyFill="1" applyBorder="1" applyAlignment="1">
      <alignment horizontal="left" vertical="center"/>
    </xf>
    <xf numFmtId="4" fontId="3" fillId="2" borderId="3" xfId="1" applyNumberFormat="1" applyFont="1" applyFill="1" applyBorder="1" applyAlignment="1">
      <alignment horizontal="left" vertical="center"/>
    </xf>
    <xf numFmtId="4" fontId="3" fillId="2" borderId="4" xfId="1" applyNumberFormat="1" applyFont="1" applyFill="1" applyBorder="1" applyAlignment="1">
      <alignment horizontal="left" vertical="center"/>
    </xf>
    <xf numFmtId="176" fontId="9" fillId="2" borderId="4" xfId="1" applyNumberFormat="1" applyFont="1" applyFill="1" applyBorder="1" applyAlignment="1">
      <alignment horizontal="right" vertical="center"/>
    </xf>
    <xf numFmtId="176" fontId="11" fillId="2" borderId="5" xfId="1" applyNumberFormat="1" applyFont="1" applyFill="1" applyBorder="1" applyAlignment="1">
      <alignment horizontal="right" vertical="center"/>
    </xf>
    <xf numFmtId="0" fontId="4" fillId="2" borderId="6" xfId="1" applyFont="1" applyFill="1" applyBorder="1" applyAlignment="1">
      <alignment horizontal="left" vertical="center"/>
    </xf>
    <xf numFmtId="0" fontId="4" fillId="0" borderId="0" xfId="1" applyFont="1" applyAlignment="1">
      <alignment vertical="center"/>
    </xf>
    <xf numFmtId="0" fontId="4" fillId="0" borderId="0" xfId="1" applyFont="1" applyAlignment="1">
      <alignment horizontal="left" vertical="center"/>
    </xf>
    <xf numFmtId="0" fontId="3" fillId="2" borderId="5" xfId="1" applyFont="1" applyFill="1" applyBorder="1" applyAlignment="1">
      <alignment horizontal="left" vertical="center"/>
    </xf>
    <xf numFmtId="0" fontId="4" fillId="2" borderId="3" xfId="1" applyFont="1" applyFill="1" applyBorder="1" applyAlignment="1">
      <alignment horizontal="left" vertical="center"/>
    </xf>
    <xf numFmtId="0" fontId="24" fillId="5" borderId="0" xfId="1" applyFont="1" applyFill="1" applyAlignment="1">
      <alignment horizontal="left" vertical="center"/>
    </xf>
    <xf numFmtId="0" fontId="4" fillId="2" borderId="5" xfId="1" applyFont="1" applyFill="1" applyBorder="1" applyAlignment="1">
      <alignment horizontal="left" vertical="center"/>
    </xf>
    <xf numFmtId="3" fontId="4" fillId="2" borderId="0" xfId="2" applyNumberFormat="1" applyFont="1" applyFill="1">
      <alignment vertical="center"/>
    </xf>
    <xf numFmtId="3" fontId="4" fillId="2" borderId="1" xfId="2" applyNumberFormat="1" applyFont="1" applyFill="1" applyBorder="1">
      <alignment vertical="center"/>
    </xf>
    <xf numFmtId="3" fontId="12" fillId="3" borderId="2" xfId="2" applyNumberFormat="1" applyFont="1" applyFill="1" applyBorder="1">
      <alignment vertical="center"/>
    </xf>
    <xf numFmtId="3" fontId="3" fillId="3" borderId="3" xfId="2" applyNumberFormat="1" applyFont="1" applyFill="1" applyBorder="1">
      <alignment vertical="center"/>
    </xf>
    <xf numFmtId="3" fontId="17" fillId="3" borderId="3" xfId="2" applyNumberFormat="1" applyFont="1" applyFill="1" applyBorder="1">
      <alignment vertical="center"/>
    </xf>
    <xf numFmtId="3" fontId="13" fillId="3" borderId="4" xfId="2" applyNumberFormat="1" applyFont="1" applyFill="1" applyBorder="1">
      <alignment vertical="center"/>
    </xf>
    <xf numFmtId="3" fontId="17" fillId="3" borderId="4" xfId="2" applyNumberFormat="1" applyFont="1" applyFill="1" applyBorder="1">
      <alignment vertical="center"/>
    </xf>
    <xf numFmtId="3" fontId="12" fillId="6" borderId="5" xfId="2" applyNumberFormat="1" applyFont="1" applyFill="1" applyBorder="1">
      <alignment vertical="center"/>
    </xf>
    <xf numFmtId="3" fontId="3" fillId="6" borderId="5" xfId="2" applyNumberFormat="1" applyFont="1" applyFill="1" applyBorder="1">
      <alignment vertical="center"/>
    </xf>
    <xf numFmtId="3" fontId="13" fillId="3" borderId="3" xfId="2" applyNumberFormat="1" applyFont="1" applyFill="1" applyBorder="1">
      <alignment vertical="center"/>
    </xf>
    <xf numFmtId="3" fontId="12" fillId="8" borderId="3" xfId="2" applyNumberFormat="1" applyFont="1" applyFill="1" applyBorder="1">
      <alignment vertical="center"/>
    </xf>
    <xf numFmtId="3" fontId="3" fillId="8" borderId="3" xfId="2" applyNumberFormat="1" applyFont="1" applyFill="1" applyBorder="1">
      <alignment vertical="center"/>
    </xf>
    <xf numFmtId="3" fontId="12" fillId="3" borderId="1" xfId="2" applyNumberFormat="1" applyFont="1" applyFill="1" applyBorder="1" applyAlignment="1">
      <alignment horizontal="right" vertical="center"/>
    </xf>
    <xf numFmtId="3" fontId="3" fillId="3" borderId="3" xfId="2" applyNumberFormat="1" applyFont="1" applyFill="1" applyBorder="1" applyAlignment="1">
      <alignment horizontal="left" vertical="center"/>
    </xf>
    <xf numFmtId="3" fontId="12" fillId="3" borderId="3" xfId="2" applyNumberFormat="1" applyFont="1" applyFill="1" applyBorder="1">
      <alignment vertical="center"/>
    </xf>
    <xf numFmtId="3" fontId="17" fillId="7" borderId="3" xfId="2" applyNumberFormat="1" applyFont="1" applyFill="1" applyBorder="1" applyAlignment="1">
      <alignment horizontal="left" vertical="center"/>
    </xf>
    <xf numFmtId="3" fontId="17" fillId="7" borderId="5" xfId="2" applyNumberFormat="1" applyFont="1" applyFill="1" applyBorder="1" applyAlignment="1">
      <alignment horizontal="left" vertical="center"/>
    </xf>
    <xf numFmtId="3" fontId="3" fillId="7" borderId="3" xfId="2" applyNumberFormat="1" applyFont="1" applyFill="1" applyBorder="1">
      <alignment vertical="center"/>
    </xf>
    <xf numFmtId="3" fontId="3" fillId="3" borderId="4" xfId="2" applyNumberFormat="1" applyFont="1" applyFill="1" applyBorder="1" applyAlignment="1">
      <alignment horizontal="left" vertical="center"/>
    </xf>
    <xf numFmtId="3" fontId="3" fillId="8" borderId="4" xfId="2" applyNumberFormat="1" applyFont="1" applyFill="1" applyBorder="1">
      <alignment vertical="center"/>
    </xf>
    <xf numFmtId="3" fontId="12" fillId="3" borderId="4" xfId="2" applyNumberFormat="1" applyFont="1" applyFill="1" applyBorder="1">
      <alignment vertical="center"/>
    </xf>
    <xf numFmtId="3" fontId="25" fillId="3" borderId="0" xfId="2" applyNumberFormat="1" applyFont="1" applyFill="1" applyAlignment="1">
      <alignment horizontal="left" vertical="center" indent="1"/>
    </xf>
    <xf numFmtId="3" fontId="19" fillId="3" borderId="0" xfId="2" applyNumberFormat="1" applyFont="1" applyFill="1" applyAlignment="1">
      <alignment horizontal="left" vertical="center" indent="1"/>
    </xf>
    <xf numFmtId="3" fontId="3" fillId="3" borderId="10" xfId="2" applyNumberFormat="1" applyFont="1" applyFill="1" applyBorder="1">
      <alignment vertical="center"/>
    </xf>
    <xf numFmtId="3" fontId="3" fillId="3" borderId="5" xfId="2" applyNumberFormat="1" applyFont="1" applyFill="1" applyBorder="1">
      <alignment vertical="center"/>
    </xf>
    <xf numFmtId="3" fontId="3" fillId="3" borderId="5" xfId="2" applyNumberFormat="1" applyFont="1" applyFill="1" applyBorder="1" applyAlignment="1">
      <alignment horizontal="left" vertical="center"/>
    </xf>
    <xf numFmtId="3" fontId="3" fillId="8" borderId="5" xfId="2" applyNumberFormat="1" applyFont="1" applyFill="1" applyBorder="1">
      <alignment vertical="center"/>
    </xf>
    <xf numFmtId="3" fontId="4" fillId="2" borderId="1" xfId="2" applyNumberFormat="1" applyFont="1" applyFill="1" applyBorder="1" applyAlignment="1">
      <alignment horizontal="left" vertical="center"/>
    </xf>
    <xf numFmtId="3" fontId="4" fillId="2" borderId="1" xfId="2" applyNumberFormat="1" applyFont="1" applyFill="1" applyBorder="1" applyAlignment="1">
      <alignment horizontal="right" vertical="center"/>
    </xf>
    <xf numFmtId="3" fontId="4" fillId="2" borderId="0" xfId="2" applyNumberFormat="1" applyFont="1" applyFill="1" applyAlignment="1">
      <alignment horizontal="left" vertical="center"/>
    </xf>
    <xf numFmtId="3" fontId="4" fillId="2" borderId="0" xfId="2" applyNumberFormat="1" applyFont="1" applyFill="1" applyAlignment="1">
      <alignment horizontal="right" vertical="center"/>
    </xf>
    <xf numFmtId="3" fontId="4" fillId="2" borderId="2" xfId="2" applyNumberFormat="1" applyFont="1" applyFill="1" applyBorder="1" applyAlignment="1">
      <alignment horizontal="left" vertical="center"/>
    </xf>
    <xf numFmtId="3" fontId="4" fillId="2" borderId="2" xfId="2" applyNumberFormat="1" applyFont="1" applyFill="1" applyBorder="1" applyAlignment="1">
      <alignment horizontal="right" vertical="center"/>
    </xf>
    <xf numFmtId="3" fontId="3" fillId="2" borderId="3" xfId="2" applyNumberFormat="1" applyFont="1" applyFill="1" applyBorder="1" applyAlignment="1">
      <alignment horizontal="left" vertical="center"/>
    </xf>
    <xf numFmtId="176" fontId="17" fillId="2" borderId="3" xfId="2" applyNumberFormat="1" applyFont="1" applyFill="1" applyBorder="1" applyAlignment="1">
      <alignment horizontal="right" vertical="center"/>
    </xf>
    <xf numFmtId="180" fontId="17" fillId="2" borderId="3" xfId="2" applyNumberFormat="1" applyFont="1" applyFill="1" applyBorder="1" applyAlignment="1">
      <alignment horizontal="right" vertical="center"/>
    </xf>
    <xf numFmtId="3" fontId="3" fillId="0" borderId="3" xfId="2" applyNumberFormat="1" applyFont="1" applyBorder="1">
      <alignment vertical="center"/>
    </xf>
    <xf numFmtId="3" fontId="3" fillId="2" borderId="5" xfId="2" applyNumberFormat="1" applyFont="1" applyFill="1" applyBorder="1" applyAlignment="1">
      <alignment horizontal="left" vertical="center"/>
    </xf>
    <xf numFmtId="3" fontId="4" fillId="2" borderId="5" xfId="2" applyNumberFormat="1" applyFont="1" applyFill="1" applyBorder="1" applyAlignment="1">
      <alignment horizontal="right" vertical="center"/>
    </xf>
    <xf numFmtId="3" fontId="3" fillId="0" borderId="5" xfId="2" applyNumberFormat="1" applyFont="1" applyBorder="1">
      <alignment vertical="center"/>
    </xf>
    <xf numFmtId="3" fontId="9" fillId="2" borderId="3" xfId="1" applyNumberFormat="1" applyFont="1" applyFill="1" applyBorder="1" applyAlignment="1">
      <alignment horizontal="right" vertical="center"/>
    </xf>
    <xf numFmtId="0" fontId="12" fillId="3" borderId="0" xfId="1" applyFont="1" applyFill="1" applyAlignment="1">
      <alignment vertical="center"/>
    </xf>
    <xf numFmtId="3" fontId="9" fillId="2" borderId="4" xfId="1" applyNumberFormat="1" applyFont="1" applyFill="1" applyBorder="1" applyAlignment="1">
      <alignment horizontal="right" vertical="center"/>
    </xf>
    <xf numFmtId="176" fontId="9" fillId="2" borderId="5" xfId="1" applyNumberFormat="1" applyFont="1" applyFill="1" applyBorder="1" applyAlignment="1">
      <alignment horizontal="right" vertical="center"/>
    </xf>
    <xf numFmtId="3" fontId="9" fillId="2" borderId="5" xfId="1" applyNumberFormat="1" applyFont="1" applyFill="1" applyBorder="1" applyAlignment="1">
      <alignment horizontal="right" vertical="center"/>
    </xf>
    <xf numFmtId="3" fontId="12" fillId="3" borderId="0" xfId="2" applyNumberFormat="1" applyFont="1" applyFill="1" applyAlignment="1">
      <alignment horizontal="right" vertical="center"/>
    </xf>
    <xf numFmtId="3" fontId="3" fillId="4" borderId="5" xfId="2" applyNumberFormat="1" applyFont="1" applyFill="1" applyBorder="1">
      <alignment vertical="center"/>
    </xf>
    <xf numFmtId="3" fontId="17" fillId="2" borderId="0" xfId="2" applyNumberFormat="1" applyFont="1" applyFill="1">
      <alignment vertical="center"/>
    </xf>
    <xf numFmtId="0" fontId="23" fillId="2" borderId="2" xfId="1" applyFont="1" applyFill="1" applyBorder="1" applyAlignment="1">
      <alignment horizontal="right" vertical="center"/>
    </xf>
    <xf numFmtId="0" fontId="12" fillId="2" borderId="3" xfId="1" applyFont="1" applyFill="1" applyBorder="1" applyAlignment="1">
      <alignment horizontal="left" vertical="center"/>
    </xf>
    <xf numFmtId="0" fontId="12" fillId="3" borderId="0" xfId="1" applyFont="1" applyFill="1" applyAlignment="1">
      <alignment horizontal="right" vertical="center"/>
    </xf>
    <xf numFmtId="14" fontId="9" fillId="6" borderId="0" xfId="1" applyNumberFormat="1" applyFont="1" applyFill="1" applyAlignment="1">
      <alignment horizontal="left" vertical="center"/>
    </xf>
    <xf numFmtId="0" fontId="23" fillId="2" borderId="0" xfId="1" applyFont="1" applyFill="1" applyAlignment="1">
      <alignment horizontal="left" vertical="center"/>
    </xf>
    <xf numFmtId="14" fontId="17" fillId="2" borderId="3" xfId="1" applyNumberFormat="1" applyFont="1" applyFill="1" applyBorder="1" applyAlignment="1">
      <alignment horizontal="left" vertical="center"/>
    </xf>
    <xf numFmtId="0" fontId="4" fillId="6" borderId="3" xfId="1" applyFont="1" applyFill="1" applyBorder="1" applyAlignment="1">
      <alignment horizontal="right" vertical="center"/>
    </xf>
    <xf numFmtId="14" fontId="17" fillId="2" borderId="5" xfId="1" applyNumberFormat="1" applyFont="1" applyFill="1" applyBorder="1" applyAlignment="1">
      <alignment horizontal="left" vertical="center"/>
    </xf>
    <xf numFmtId="14" fontId="17" fillId="7" borderId="0" xfId="1" applyNumberFormat="1" applyFont="1" applyFill="1" applyAlignment="1">
      <alignment vertical="center"/>
    </xf>
    <xf numFmtId="3" fontId="3" fillId="6" borderId="3" xfId="1" applyNumberFormat="1" applyFont="1" applyFill="1" applyBorder="1" applyAlignment="1">
      <alignment vertical="center"/>
    </xf>
    <xf numFmtId="3" fontId="27" fillId="3" borderId="0" xfId="1" applyNumberFormat="1" applyFont="1" applyFill="1" applyAlignment="1">
      <alignment vertical="center"/>
    </xf>
    <xf numFmtId="3" fontId="3" fillId="0" borderId="4" xfId="1" applyNumberFormat="1" applyFont="1" applyBorder="1" applyAlignment="1">
      <alignment vertical="center"/>
    </xf>
    <xf numFmtId="181" fontId="3" fillId="0" borderId="4" xfId="1" applyNumberFormat="1" applyFont="1" applyBorder="1" applyAlignment="1">
      <alignment vertical="center"/>
    </xf>
    <xf numFmtId="14" fontId="3" fillId="7" borderId="0" xfId="1" applyNumberFormat="1" applyFont="1" applyFill="1" applyAlignment="1">
      <alignment vertical="center"/>
    </xf>
    <xf numFmtId="9" fontId="3" fillId="0" borderId="0" xfId="1" applyNumberFormat="1" applyFont="1" applyAlignment="1">
      <alignment vertical="center"/>
    </xf>
    <xf numFmtId="14" fontId="12" fillId="3" borderId="6" xfId="1" applyNumberFormat="1" applyFont="1" applyFill="1" applyBorder="1" applyAlignment="1">
      <alignment horizontal="left" vertical="center"/>
    </xf>
    <xf numFmtId="14" fontId="17" fillId="3" borderId="3" xfId="1" applyNumberFormat="1" applyFont="1" applyFill="1" applyBorder="1" applyAlignment="1">
      <alignment horizontal="left" vertical="center"/>
    </xf>
    <xf numFmtId="3" fontId="17" fillId="3" borderId="3" xfId="1" applyNumberFormat="1" applyFont="1" applyFill="1" applyBorder="1" applyAlignment="1">
      <alignment horizontal="left" vertical="center"/>
    </xf>
    <xf numFmtId="14" fontId="3" fillId="3" borderId="3" xfId="1" applyNumberFormat="1" applyFont="1" applyFill="1" applyBorder="1" applyAlignment="1">
      <alignment horizontal="left" vertical="center"/>
    </xf>
    <xf numFmtId="14" fontId="17" fillId="3" borderId="5" xfId="1" applyNumberFormat="1" applyFont="1" applyFill="1" applyBorder="1" applyAlignment="1">
      <alignment horizontal="left" vertical="center"/>
    </xf>
    <xf numFmtId="3" fontId="17" fillId="3" borderId="5" xfId="1" applyNumberFormat="1" applyFont="1" applyFill="1" applyBorder="1" applyAlignment="1">
      <alignment horizontal="left" vertical="center"/>
    </xf>
    <xf numFmtId="14" fontId="3" fillId="3" borderId="5" xfId="1" applyNumberFormat="1" applyFont="1" applyFill="1" applyBorder="1" applyAlignment="1">
      <alignment horizontal="left" vertical="center"/>
    </xf>
    <xf numFmtId="14" fontId="3" fillId="2" borderId="3" xfId="1" applyNumberFormat="1" applyFont="1" applyFill="1" applyBorder="1" applyAlignment="1">
      <alignment horizontal="left" vertical="center"/>
    </xf>
    <xf numFmtId="14" fontId="3" fillId="2" borderId="5" xfId="1" applyNumberFormat="1" applyFont="1" applyFill="1" applyBorder="1" applyAlignment="1">
      <alignment horizontal="left" vertical="center"/>
    </xf>
    <xf numFmtId="181" fontId="3" fillId="0" borderId="5" xfId="1" applyNumberFormat="1" applyFont="1" applyBorder="1" applyAlignment="1">
      <alignment vertical="center"/>
    </xf>
    <xf numFmtId="14" fontId="3" fillId="3" borderId="0" xfId="1" applyNumberFormat="1" applyFont="1" applyFill="1" applyAlignment="1">
      <alignment horizontal="left" vertical="center"/>
    </xf>
    <xf numFmtId="14" fontId="4" fillId="2" borderId="1" xfId="1" applyNumberFormat="1" applyFont="1" applyFill="1" applyBorder="1" applyAlignment="1">
      <alignment horizontal="left" vertical="center"/>
    </xf>
    <xf numFmtId="3" fontId="4" fillId="2" borderId="1" xfId="1" applyNumberFormat="1" applyFont="1" applyFill="1" applyBorder="1" applyAlignment="1">
      <alignment horizontal="right" vertical="center"/>
    </xf>
    <xf numFmtId="3" fontId="4" fillId="2" borderId="1" xfId="1" applyNumberFormat="1" applyFont="1" applyFill="1" applyBorder="1" applyAlignment="1">
      <alignment horizontal="left" vertical="center"/>
    </xf>
    <xf numFmtId="14" fontId="4" fillId="2" borderId="2" xfId="1" applyNumberFormat="1" applyFont="1" applyFill="1" applyBorder="1" applyAlignment="1">
      <alignment horizontal="left" vertical="center"/>
    </xf>
    <xf numFmtId="3" fontId="4" fillId="2" borderId="2" xfId="1" applyNumberFormat="1" applyFont="1" applyFill="1" applyBorder="1" applyAlignment="1">
      <alignment horizontal="right" vertical="center"/>
    </xf>
    <xf numFmtId="3" fontId="4" fillId="2" borderId="0" xfId="1" applyNumberFormat="1" applyFont="1" applyFill="1" applyAlignment="1">
      <alignment horizontal="left" vertical="center"/>
    </xf>
    <xf numFmtId="3" fontId="4" fillId="2" borderId="0" xfId="1" applyNumberFormat="1" applyFont="1" applyFill="1" applyAlignment="1">
      <alignment horizontal="right" vertical="center"/>
    </xf>
    <xf numFmtId="176" fontId="17" fillId="2" borderId="3" xfId="1" applyNumberFormat="1" applyFont="1" applyFill="1" applyBorder="1" applyAlignment="1">
      <alignment horizontal="right" vertical="center"/>
    </xf>
    <xf numFmtId="3" fontId="4" fillId="2" borderId="2" xfId="1" applyNumberFormat="1" applyFont="1" applyFill="1" applyBorder="1" applyAlignment="1">
      <alignment horizontal="left" vertical="center"/>
    </xf>
    <xf numFmtId="3" fontId="17" fillId="2" borderId="2" xfId="1" applyNumberFormat="1" applyFont="1" applyFill="1" applyBorder="1" applyAlignment="1">
      <alignment horizontal="right" vertical="center"/>
    </xf>
    <xf numFmtId="3" fontId="3" fillId="2" borderId="4" xfId="1" applyNumberFormat="1" applyFont="1" applyFill="1" applyBorder="1" applyAlignment="1">
      <alignment horizontal="left" vertical="center"/>
    </xf>
    <xf numFmtId="0" fontId="17" fillId="2" borderId="3" xfId="1" applyFont="1" applyFill="1" applyBorder="1" applyAlignment="1">
      <alignment horizontal="right" vertical="center"/>
    </xf>
    <xf numFmtId="3" fontId="3" fillId="2" borderId="0" xfId="1" applyNumberFormat="1" applyFont="1" applyFill="1" applyAlignment="1">
      <alignment horizontal="left" vertical="center"/>
    </xf>
    <xf numFmtId="3" fontId="3" fillId="2" borderId="10" xfId="1" applyNumberFormat="1" applyFont="1" applyFill="1" applyBorder="1" applyAlignment="1">
      <alignment horizontal="left" vertical="center"/>
    </xf>
    <xf numFmtId="0" fontId="17" fillId="2" borderId="5" xfId="1" applyFont="1" applyFill="1" applyBorder="1" applyAlignment="1">
      <alignment horizontal="right" vertical="center"/>
    </xf>
    <xf numFmtId="176" fontId="17" fillId="2" borderId="5" xfId="1" applyNumberFormat="1" applyFont="1" applyFill="1" applyBorder="1" applyAlignment="1">
      <alignment horizontal="right" vertical="center"/>
    </xf>
    <xf numFmtId="0" fontId="3" fillId="0" borderId="6" xfId="1" applyFont="1" applyBorder="1" applyAlignment="1">
      <alignment vertical="center"/>
    </xf>
    <xf numFmtId="0" fontId="12" fillId="3" borderId="6" xfId="1" applyFont="1" applyFill="1" applyBorder="1" applyAlignment="1">
      <alignment horizontal="left" vertical="center"/>
    </xf>
    <xf numFmtId="14" fontId="17" fillId="4" borderId="3" xfId="1" applyNumberFormat="1" applyFont="1" applyFill="1" applyBorder="1" applyAlignment="1">
      <alignment horizontal="left" vertical="center"/>
    </xf>
    <xf numFmtId="14" fontId="3" fillId="4" borderId="3" xfId="1" applyNumberFormat="1" applyFont="1" applyFill="1" applyBorder="1" applyAlignment="1">
      <alignment horizontal="left" vertical="center"/>
    </xf>
    <xf numFmtId="0" fontId="3" fillId="4" borderId="3" xfId="1" applyFont="1" applyFill="1" applyBorder="1" applyAlignment="1">
      <alignment vertical="center"/>
    </xf>
    <xf numFmtId="0" fontId="3" fillId="8" borderId="3" xfId="1" applyFont="1" applyFill="1" applyBorder="1" applyAlignment="1">
      <alignment vertical="center"/>
    </xf>
    <xf numFmtId="14" fontId="17" fillId="4" borderId="5" xfId="1" applyNumberFormat="1" applyFont="1" applyFill="1" applyBorder="1" applyAlignment="1">
      <alignment horizontal="left" vertical="center"/>
    </xf>
    <xf numFmtId="14" fontId="3" fillId="4" borderId="5" xfId="1" applyNumberFormat="1" applyFont="1" applyFill="1" applyBorder="1" applyAlignment="1">
      <alignment horizontal="left" vertical="center"/>
    </xf>
    <xf numFmtId="0" fontId="3" fillId="7" borderId="3" xfId="1" applyFont="1" applyFill="1" applyBorder="1" applyAlignment="1">
      <alignment vertical="center"/>
    </xf>
    <xf numFmtId="14" fontId="17" fillId="3" borderId="6" xfId="1" applyNumberFormat="1" applyFont="1" applyFill="1" applyBorder="1" applyAlignment="1">
      <alignment vertical="center"/>
    </xf>
    <xf numFmtId="0" fontId="3" fillId="3" borderId="6" xfId="1" applyFont="1" applyFill="1" applyBorder="1" applyAlignment="1">
      <alignment vertical="center"/>
    </xf>
    <xf numFmtId="14" fontId="12" fillId="3" borderId="3" xfId="1" applyNumberFormat="1" applyFont="1" applyFill="1" applyBorder="1" applyAlignment="1">
      <alignment horizontal="left" vertical="center"/>
    </xf>
    <xf numFmtId="0" fontId="17" fillId="3" borderId="3" xfId="1" applyFont="1" applyFill="1" applyBorder="1" applyAlignment="1">
      <alignment vertical="center"/>
    </xf>
    <xf numFmtId="0" fontId="12" fillId="3" borderId="3" xfId="1" applyFont="1" applyFill="1" applyBorder="1" applyAlignment="1">
      <alignment vertical="center"/>
    </xf>
    <xf numFmtId="0" fontId="12" fillId="6" borderId="5" xfId="1" applyFont="1" applyFill="1" applyBorder="1" applyAlignment="1">
      <alignment horizontal="left" vertical="center"/>
    </xf>
    <xf numFmtId="14" fontId="9" fillId="6" borderId="5" xfId="1" applyNumberFormat="1" applyFont="1" applyFill="1" applyBorder="1" applyAlignment="1">
      <alignment vertical="center"/>
    </xf>
    <xf numFmtId="0" fontId="3" fillId="6" borderId="5" xfId="1" applyFont="1" applyFill="1" applyBorder="1" applyAlignment="1">
      <alignment vertical="center"/>
    </xf>
    <xf numFmtId="0" fontId="12" fillId="3" borderId="3" xfId="1" applyFont="1" applyFill="1" applyBorder="1" applyAlignment="1">
      <alignment horizontal="left" vertical="center"/>
    </xf>
    <xf numFmtId="14" fontId="17" fillId="3" borderId="3" xfId="1" applyNumberFormat="1" applyFont="1" applyFill="1" applyBorder="1" applyAlignment="1">
      <alignment vertical="center"/>
    </xf>
    <xf numFmtId="14" fontId="12" fillId="6" borderId="5" xfId="1" applyNumberFormat="1" applyFont="1" applyFill="1" applyBorder="1" applyAlignment="1">
      <alignment horizontal="left" vertical="center"/>
    </xf>
    <xf numFmtId="0" fontId="12" fillId="6" borderId="5" xfId="1" applyFont="1" applyFill="1" applyBorder="1" applyAlignment="1">
      <alignment vertical="center"/>
    </xf>
    <xf numFmtId="182" fontId="3" fillId="3" borderId="0" xfId="1" applyNumberFormat="1" applyFont="1" applyFill="1" applyAlignment="1">
      <alignment vertical="center"/>
    </xf>
    <xf numFmtId="182" fontId="12" fillId="3" borderId="6" xfId="1" applyNumberFormat="1" applyFont="1" applyFill="1" applyBorder="1" applyAlignment="1">
      <alignment horizontal="right" vertical="center"/>
    </xf>
    <xf numFmtId="182" fontId="12" fillId="3" borderId="1" xfId="1" applyNumberFormat="1" applyFont="1" applyFill="1" applyBorder="1" applyAlignment="1">
      <alignment vertical="center"/>
    </xf>
    <xf numFmtId="183" fontId="3" fillId="3" borderId="1" xfId="1" applyNumberFormat="1" applyFont="1" applyFill="1" applyBorder="1" applyAlignment="1">
      <alignment vertical="center"/>
    </xf>
    <xf numFmtId="182" fontId="3" fillId="3" borderId="1" xfId="1" applyNumberFormat="1" applyFont="1" applyFill="1" applyBorder="1" applyAlignment="1">
      <alignment vertical="center"/>
    </xf>
    <xf numFmtId="182" fontId="17" fillId="3" borderId="3" xfId="1" applyNumberFormat="1" applyFont="1" applyFill="1" applyBorder="1" applyAlignment="1">
      <alignment vertical="center"/>
    </xf>
    <xf numFmtId="182" fontId="3" fillId="3" borderId="3" xfId="1" applyNumberFormat="1" applyFont="1" applyFill="1" applyBorder="1" applyAlignment="1">
      <alignment vertical="center"/>
    </xf>
    <xf numFmtId="182" fontId="3" fillId="3" borderId="2" xfId="1" applyNumberFormat="1" applyFont="1" applyFill="1" applyBorder="1" applyAlignment="1">
      <alignment vertical="center"/>
    </xf>
    <xf numFmtId="183" fontId="12" fillId="3" borderId="2" xfId="1" applyNumberFormat="1" applyFont="1" applyFill="1" applyBorder="1" applyAlignment="1">
      <alignment horizontal="right" vertical="center"/>
    </xf>
    <xf numFmtId="182" fontId="12" fillId="3" borderId="3" xfId="1" applyNumberFormat="1" applyFont="1" applyFill="1" applyBorder="1" applyAlignment="1">
      <alignment vertical="center"/>
    </xf>
    <xf numFmtId="3" fontId="3" fillId="7" borderId="3" xfId="1" applyNumberFormat="1" applyFont="1" applyFill="1" applyBorder="1" applyAlignment="1">
      <alignment vertical="center"/>
    </xf>
    <xf numFmtId="182" fontId="12" fillId="7" borderId="3" xfId="1" applyNumberFormat="1" applyFont="1" applyFill="1" applyBorder="1" applyAlignment="1">
      <alignment vertical="center"/>
    </xf>
    <xf numFmtId="182" fontId="26" fillId="0" borderId="0" xfId="1" applyNumberFormat="1" applyFont="1" applyAlignment="1">
      <alignment vertical="center"/>
    </xf>
    <xf numFmtId="182" fontId="3" fillId="0" borderId="0" xfId="1" applyNumberFormat="1" applyFont="1" applyAlignment="1">
      <alignment vertical="center"/>
    </xf>
    <xf numFmtId="3" fontId="17" fillId="3" borderId="3" xfId="1" applyNumberFormat="1" applyFont="1" applyFill="1" applyBorder="1" applyAlignment="1">
      <alignment vertical="center"/>
    </xf>
    <xf numFmtId="182" fontId="12" fillId="3" borderId="5" xfId="1" applyNumberFormat="1" applyFont="1" applyFill="1" applyBorder="1" applyAlignment="1">
      <alignment vertical="center"/>
    </xf>
    <xf numFmtId="182" fontId="3" fillId="3" borderId="5" xfId="1" applyNumberFormat="1" applyFont="1" applyFill="1" applyBorder="1" applyAlignment="1">
      <alignment vertical="center"/>
    </xf>
    <xf numFmtId="182" fontId="12" fillId="3" borderId="5" xfId="1" applyNumberFormat="1" applyFont="1" applyFill="1" applyBorder="1" applyAlignment="1">
      <alignment horizontal="right" vertical="center"/>
    </xf>
    <xf numFmtId="183" fontId="3" fillId="6" borderId="5" xfId="1" applyNumberFormat="1" applyFont="1" applyFill="1" applyBorder="1" applyAlignment="1">
      <alignment vertical="center"/>
    </xf>
    <xf numFmtId="182" fontId="19" fillId="3" borderId="0" xfId="1" applyNumberFormat="1" applyFont="1" applyFill="1" applyAlignment="1">
      <alignment vertical="center"/>
    </xf>
    <xf numFmtId="183" fontId="3" fillId="3" borderId="0" xfId="1" applyNumberFormat="1" applyFont="1" applyFill="1" applyAlignment="1">
      <alignment vertical="center"/>
    </xf>
    <xf numFmtId="0" fontId="17" fillId="2" borderId="3" xfId="1" applyFont="1" applyFill="1" applyBorder="1" applyAlignment="1">
      <alignment horizontal="left" vertical="center"/>
    </xf>
    <xf numFmtId="0" fontId="4" fillId="6" borderId="3" xfId="1" applyFont="1" applyFill="1" applyBorder="1" applyAlignment="1">
      <alignment horizontal="left" vertical="center"/>
    </xf>
    <xf numFmtId="0" fontId="17" fillId="3" borderId="3" xfId="1" applyFont="1" applyFill="1" applyBorder="1" applyAlignment="1">
      <alignment horizontal="left" vertical="center"/>
    </xf>
    <xf numFmtId="0" fontId="3" fillId="3" borderId="3" xfId="1" applyFont="1" applyFill="1" applyBorder="1" applyAlignment="1">
      <alignment horizontal="left" vertical="center"/>
    </xf>
    <xf numFmtId="0" fontId="17" fillId="3" borderId="5" xfId="1" applyFont="1" applyFill="1" applyBorder="1" applyAlignment="1">
      <alignment horizontal="left" vertical="center"/>
    </xf>
    <xf numFmtId="0" fontId="3" fillId="3" borderId="5" xfId="1" applyFont="1" applyFill="1" applyBorder="1" applyAlignment="1">
      <alignment horizontal="left" vertical="center"/>
    </xf>
    <xf numFmtId="0" fontId="17" fillId="2" borderId="2" xfId="1" applyFont="1" applyFill="1" applyBorder="1" applyAlignment="1">
      <alignment horizontal="left" vertical="center"/>
    </xf>
    <xf numFmtId="0" fontId="17" fillId="2" borderId="10" xfId="1" applyFont="1" applyFill="1" applyBorder="1" applyAlignment="1">
      <alignment horizontal="left" vertical="center"/>
    </xf>
    <xf numFmtId="0" fontId="4" fillId="6" borderId="5" xfId="1" applyFont="1" applyFill="1" applyBorder="1" applyAlignment="1">
      <alignment horizontal="left" vertical="center"/>
    </xf>
    <xf numFmtId="0" fontId="23" fillId="2" borderId="1" xfId="1" applyFont="1" applyFill="1" applyBorder="1" applyAlignment="1">
      <alignment horizontal="left" vertical="center"/>
    </xf>
    <xf numFmtId="14" fontId="12" fillId="3" borderId="0" xfId="1" applyNumberFormat="1" applyFont="1" applyFill="1" applyAlignment="1">
      <alignment vertical="center"/>
    </xf>
    <xf numFmtId="0" fontId="28" fillId="0" borderId="0" xfId="1" applyFont="1" applyAlignment="1">
      <alignment vertical="center"/>
    </xf>
    <xf numFmtId="176" fontId="9" fillId="2" borderId="3" xfId="1" applyNumberFormat="1" applyFont="1" applyFill="1" applyBorder="1" applyAlignment="1">
      <alignment horizontal="center" vertical="center"/>
    </xf>
    <xf numFmtId="0" fontId="29" fillId="0" borderId="0" xfId="1" applyFont="1" applyAlignment="1">
      <alignment vertical="center"/>
    </xf>
    <xf numFmtId="3" fontId="29" fillId="3" borderId="0" xfId="2" applyNumberFormat="1" applyFont="1" applyFill="1">
      <alignment vertical="center"/>
    </xf>
    <xf numFmtId="3" fontId="3" fillId="3" borderId="0" xfId="2" applyNumberFormat="1" applyFont="1" applyFill="1" applyBorder="1">
      <alignment vertical="center"/>
    </xf>
    <xf numFmtId="3" fontId="17" fillId="3" borderId="5" xfId="2" applyNumberFormat="1" applyFont="1" applyFill="1" applyBorder="1">
      <alignment vertical="center"/>
    </xf>
    <xf numFmtId="3" fontId="3" fillId="3" borderId="16" xfId="2" applyNumberFormat="1" applyFont="1" applyFill="1" applyBorder="1">
      <alignment vertical="center"/>
    </xf>
    <xf numFmtId="177" fontId="29" fillId="3" borderId="0" xfId="1" applyNumberFormat="1" applyFont="1" applyFill="1" applyAlignment="1">
      <alignment horizontal="left" vertical="center"/>
    </xf>
    <xf numFmtId="3" fontId="3" fillId="3" borderId="17" xfId="1" applyNumberFormat="1" applyFont="1" applyFill="1" applyBorder="1" applyAlignment="1">
      <alignment vertical="center"/>
    </xf>
    <xf numFmtId="3" fontId="3" fillId="3" borderId="18" xfId="1" applyNumberFormat="1" applyFont="1" applyFill="1" applyBorder="1" applyAlignment="1">
      <alignment vertical="center"/>
    </xf>
    <xf numFmtId="14" fontId="29" fillId="3" borderId="0" xfId="1" applyNumberFormat="1" applyFont="1" applyFill="1" applyAlignment="1">
      <alignment vertical="center"/>
    </xf>
    <xf numFmtId="0" fontId="30" fillId="0" borderId="0" xfId="1" applyFont="1"/>
    <xf numFmtId="3" fontId="11" fillId="0" borderId="3" xfId="2" applyNumberFormat="1" applyFont="1" applyFill="1" applyBorder="1">
      <alignment vertical="center"/>
    </xf>
    <xf numFmtId="3" fontId="17" fillId="4" borderId="3" xfId="2" applyNumberFormat="1" applyFont="1" applyFill="1" applyBorder="1" applyAlignment="1">
      <alignment horizontal="center" vertical="center"/>
    </xf>
    <xf numFmtId="3" fontId="17" fillId="6" borderId="3" xfId="2" applyNumberFormat="1" applyFont="1" applyFill="1" applyBorder="1" applyAlignment="1">
      <alignment horizontal="center" vertical="center"/>
    </xf>
    <xf numFmtId="3" fontId="3" fillId="7" borderId="5" xfId="2" applyNumberFormat="1" applyFont="1" applyFill="1" applyBorder="1" applyAlignment="1">
      <alignment horizontal="center" vertical="center"/>
    </xf>
    <xf numFmtId="3" fontId="3" fillId="4" borderId="3" xfId="2" applyNumberFormat="1" applyFont="1" applyFill="1" applyBorder="1" applyAlignment="1">
      <alignment horizontal="center" vertical="center"/>
    </xf>
    <xf numFmtId="3" fontId="9" fillId="4" borderId="3" xfId="2" applyNumberFormat="1" applyFont="1" applyFill="1" applyBorder="1" applyAlignment="1">
      <alignment horizontal="center" vertical="center"/>
    </xf>
    <xf numFmtId="3" fontId="3" fillId="4" borderId="5" xfId="2" applyNumberFormat="1" applyFont="1" applyFill="1" applyBorder="1" applyAlignment="1">
      <alignment horizontal="center" vertical="center"/>
    </xf>
    <xf numFmtId="0" fontId="29" fillId="3" borderId="0" xfId="1" applyFont="1" applyFill="1" applyAlignment="1">
      <alignment vertical="center"/>
    </xf>
    <xf numFmtId="3" fontId="26" fillId="2" borderId="0" xfId="2" applyNumberFormat="1" applyFont="1" applyFill="1">
      <alignment vertical="center"/>
    </xf>
    <xf numFmtId="0" fontId="4" fillId="6" borderId="5" xfId="1" applyFont="1" applyFill="1" applyBorder="1" applyAlignment="1">
      <alignment horizontal="right" vertical="center"/>
    </xf>
    <xf numFmtId="3" fontId="20" fillId="3" borderId="0" xfId="1" applyNumberFormat="1" applyFont="1" applyFill="1" applyAlignment="1">
      <alignment vertical="center"/>
    </xf>
    <xf numFmtId="14" fontId="29" fillId="3" borderId="0" xfId="1" applyNumberFormat="1" applyFont="1" applyFill="1" applyAlignment="1">
      <alignment horizontal="left" vertical="center"/>
    </xf>
    <xf numFmtId="14" fontId="17" fillId="0" borderId="1" xfId="1" applyNumberFormat="1" applyFont="1" applyBorder="1" applyAlignment="1">
      <alignment horizontal="left" vertical="center"/>
    </xf>
    <xf numFmtId="14" fontId="17" fillId="0" borderId="20" xfId="1" applyNumberFormat="1" applyFont="1" applyBorder="1" applyAlignment="1">
      <alignment horizontal="left" vertical="center"/>
    </xf>
    <xf numFmtId="14" fontId="17" fillId="0" borderId="19" xfId="1" applyNumberFormat="1" applyFont="1" applyBorder="1" applyAlignment="1">
      <alignment horizontal="left" vertical="center"/>
    </xf>
    <xf numFmtId="14" fontId="17" fillId="0" borderId="16" xfId="1" applyNumberFormat="1" applyFont="1" applyBorder="1" applyAlignment="1">
      <alignment horizontal="left" vertical="center"/>
    </xf>
    <xf numFmtId="0" fontId="32" fillId="3" borderId="0" xfId="1" applyFont="1" applyFill="1" applyAlignment="1">
      <alignment vertical="center"/>
    </xf>
    <xf numFmtId="182" fontId="29" fillId="3" borderId="0" xfId="1" applyNumberFormat="1" applyFont="1" applyFill="1" applyAlignment="1">
      <alignment vertical="center"/>
    </xf>
    <xf numFmtId="0" fontId="36" fillId="0" borderId="0" xfId="0" applyFont="1">
      <alignment vertical="center"/>
    </xf>
    <xf numFmtId="0" fontId="38" fillId="2" borderId="2" xfId="1" applyFont="1" applyFill="1" applyBorder="1" applyAlignment="1">
      <alignment horizontal="left" vertical="center"/>
    </xf>
    <xf numFmtId="0" fontId="39" fillId="2" borderId="2" xfId="1" applyFont="1" applyFill="1" applyBorder="1" applyAlignment="1">
      <alignment horizontal="left"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0" fillId="0" borderId="33" xfId="0" applyBorder="1">
      <alignment vertical="center"/>
    </xf>
    <xf numFmtId="0" fontId="0" fillId="0" borderId="34" xfId="0" applyBorder="1">
      <alignment vertical="center"/>
    </xf>
    <xf numFmtId="0" fontId="0" fillId="0" borderId="35" xfId="0" applyBorder="1">
      <alignment vertical="center"/>
    </xf>
    <xf numFmtId="0" fontId="41" fillId="0" borderId="0" xfId="0" applyFont="1">
      <alignment vertical="center"/>
    </xf>
    <xf numFmtId="0" fontId="37" fillId="9" borderId="30" xfId="0" applyFont="1" applyFill="1" applyBorder="1">
      <alignment vertical="center"/>
    </xf>
    <xf numFmtId="0" fontId="0" fillId="9" borderId="31" xfId="0" applyFill="1" applyBorder="1">
      <alignment vertical="center"/>
    </xf>
    <xf numFmtId="0" fontId="0" fillId="9" borderId="32" xfId="0" applyFill="1" applyBorder="1">
      <alignment vertical="center"/>
    </xf>
    <xf numFmtId="0" fontId="40" fillId="4" borderId="31" xfId="0" applyFont="1" applyFill="1" applyBorder="1">
      <alignment vertical="center"/>
    </xf>
    <xf numFmtId="0" fontId="40" fillId="4" borderId="32" xfId="0" applyFont="1" applyFill="1" applyBorder="1">
      <alignment vertical="center"/>
    </xf>
    <xf numFmtId="0" fontId="37" fillId="6" borderId="30" xfId="0" applyFont="1" applyFill="1" applyBorder="1">
      <alignment vertical="center"/>
    </xf>
    <xf numFmtId="0" fontId="37" fillId="6" borderId="31" xfId="0" applyFont="1" applyFill="1" applyBorder="1">
      <alignment vertical="center"/>
    </xf>
    <xf numFmtId="0" fontId="37" fillId="6" borderId="32" xfId="0" applyFont="1" applyFill="1" applyBorder="1">
      <alignment vertical="center"/>
    </xf>
    <xf numFmtId="0" fontId="37" fillId="7" borderId="30" xfId="0" applyFont="1" applyFill="1" applyBorder="1">
      <alignment vertical="center"/>
    </xf>
    <xf numFmtId="0" fontId="37" fillId="7" borderId="31" xfId="0" applyFont="1" applyFill="1" applyBorder="1">
      <alignment vertical="center"/>
    </xf>
    <xf numFmtId="0" fontId="37" fillId="7" borderId="32" xfId="0" applyFont="1" applyFill="1" applyBorder="1">
      <alignment vertical="center"/>
    </xf>
    <xf numFmtId="0" fontId="37" fillId="4" borderId="30" xfId="0" applyFont="1" applyFill="1" applyBorder="1">
      <alignment vertical="center"/>
    </xf>
    <xf numFmtId="0" fontId="37" fillId="9" borderId="31" xfId="0" applyFont="1" applyFill="1" applyBorder="1">
      <alignment vertical="center"/>
    </xf>
    <xf numFmtId="0" fontId="37" fillId="5" borderId="30" xfId="0" applyFont="1" applyFill="1" applyBorder="1">
      <alignment vertical="center"/>
    </xf>
    <xf numFmtId="0" fontId="37" fillId="5" borderId="31" xfId="0" applyFont="1" applyFill="1" applyBorder="1">
      <alignment vertical="center"/>
    </xf>
    <xf numFmtId="0" fontId="37" fillId="5" borderId="32" xfId="0" applyFont="1" applyFill="1" applyBorder="1">
      <alignment vertical="center"/>
    </xf>
    <xf numFmtId="0" fontId="37" fillId="10" borderId="30" xfId="0" applyFont="1" applyFill="1" applyBorder="1">
      <alignment vertical="center"/>
    </xf>
    <xf numFmtId="0" fontId="0" fillId="10" borderId="31" xfId="0" applyFill="1" applyBorder="1">
      <alignment vertical="center"/>
    </xf>
    <xf numFmtId="0" fontId="0" fillId="10" borderId="32" xfId="0" applyFill="1" applyBorder="1">
      <alignment vertical="center"/>
    </xf>
    <xf numFmtId="0" fontId="37" fillId="11" borderId="30" xfId="0" applyFont="1" applyFill="1" applyBorder="1">
      <alignment vertical="center"/>
    </xf>
    <xf numFmtId="0" fontId="0" fillId="11" borderId="31" xfId="0" applyFill="1" applyBorder="1">
      <alignment vertical="center"/>
    </xf>
    <xf numFmtId="0" fontId="0" fillId="11" borderId="32" xfId="0" applyFill="1" applyBorder="1">
      <alignment vertical="center"/>
    </xf>
    <xf numFmtId="0" fontId="37" fillId="0" borderId="0" xfId="0" applyFont="1">
      <alignment vertical="center"/>
    </xf>
    <xf numFmtId="0" fontId="37" fillId="12" borderId="30" xfId="0" applyFont="1" applyFill="1" applyBorder="1">
      <alignment vertical="center"/>
    </xf>
    <xf numFmtId="0" fontId="37" fillId="12" borderId="31" xfId="0" applyFont="1" applyFill="1" applyBorder="1">
      <alignment vertical="center"/>
    </xf>
    <xf numFmtId="0" fontId="37" fillId="12" borderId="32" xfId="0" applyFont="1" applyFill="1" applyBorder="1">
      <alignment vertical="center"/>
    </xf>
  </cellXfs>
  <cellStyles count="3">
    <cellStyle name="桁区切り 2" xfId="2" xr:uid="{C2465D0D-25A7-4E77-A825-D25052801CA5}"/>
    <cellStyle name="標準" xfId="0" builtinId="0"/>
    <cellStyle name="標準 2" xfId="1" xr:uid="{AD133DD3-5909-4C51-9F6C-A7A8D4BADA50}"/>
  </cellStyles>
  <dxfs count="1">
    <dxf>
      <font>
        <color theme="0"/>
      </font>
    </dxf>
  </dxfs>
  <tableStyles count="0" defaultTableStyle="TableStyleMedium2" defaultPivotStyle="PivotStyleLight16"/>
  <colors>
    <mruColors>
      <color rgb="FFFFCCCC"/>
      <color rgb="FFFFCC99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en-US" sz="1400" b="0" i="0" u="none" strike="noStrike" kern="1200" spc="0" baseline="0">
                <a:solidFill>
                  <a:schemeClr val="accent2"/>
                </a:solidFill>
                <a:latin typeface="Arial"/>
                <a:ea typeface="Arial"/>
                <a:cs typeface="Arial"/>
              </a:defRPr>
            </a:pPr>
            <a:r>
              <a:rPr lang="ja-JP" altLang="en-US" baseline="0">
                <a:solidFill>
                  <a:schemeClr val="accent2"/>
                </a:solidFill>
              </a:rPr>
              <a:t>平均値</a:t>
            </a:r>
            <a:endParaRPr lang="en-US" altLang="ja-JP" baseline="0">
              <a:solidFill>
                <a:schemeClr val="accent2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en-US" sz="1400" b="0" i="0" u="none" strike="noStrike" kern="1200" spc="0" baseline="0">
              <a:solidFill>
                <a:schemeClr val="accent2"/>
              </a:solidFill>
              <a:latin typeface="Arial"/>
              <a:ea typeface="Arial"/>
              <a:cs typeface="Arial"/>
            </a:defRPr>
          </a:pPr>
          <a:endParaRPr lang="en-US" alt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dLbl>
              <c:idx val="0"/>
              <c:numFmt formatCode="#,##0_ 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rgbClr val="0070C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ja-JP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FE15-40F9-8707-586EC5F178C8}"/>
                </c:ext>
              </c:extLst>
            </c:dLbl>
            <c:dLbl>
              <c:idx val="1"/>
              <c:numFmt formatCode="#,##0_ 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rgbClr val="0070C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ja-JP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FE15-40F9-8707-586EC5F178C8}"/>
                </c:ext>
              </c:extLst>
            </c:dLbl>
            <c:dLbl>
              <c:idx val="2"/>
              <c:numFmt formatCode="#,##0_ 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rgbClr val="0070C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ja-JP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FE15-40F9-8707-586EC5F178C8}"/>
                </c:ext>
              </c:extLst>
            </c:dLbl>
            <c:dLbl>
              <c:idx val="4"/>
              <c:numFmt formatCode="#,##0_ 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rgbClr val="0070C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ja-JP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FE15-40F9-8707-586EC5F178C8}"/>
                </c:ext>
              </c:extLst>
            </c:dLbl>
            <c:dLbl>
              <c:idx val="5"/>
              <c:numFmt formatCode="#,##0_ 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rgbClr val="0070C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ja-JP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FE15-40F9-8707-586EC5F178C8}"/>
                </c:ext>
              </c:extLst>
            </c:dLbl>
            <c:dLbl>
              <c:idx val="6"/>
              <c:numFmt formatCode="#,##0_ 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rgbClr val="0070C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ja-JP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FE15-40F9-8707-586EC5F178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rgbClr val="0070C0"/>
                    </a:solidFill>
                    <a:latin typeface="Arial"/>
                    <a:ea typeface="Arial"/>
                    <a:cs typeface="Arial"/>
                  </a:defRPr>
                </a:pPr>
                <a:endParaRPr lang="ja-JP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'AVERAGE, MEDIAN'!$B$5:$B$11</c:f>
              <c:strCache>
                <c:ptCount val="7"/>
                <c:pt idx="0">
                  <c:v>佐藤</c:v>
                </c:pt>
                <c:pt idx="1">
                  <c:v>鈴木</c:v>
                </c:pt>
                <c:pt idx="2">
                  <c:v>高橋</c:v>
                </c:pt>
                <c:pt idx="3">
                  <c:v>川崎</c:v>
                </c:pt>
                <c:pt idx="4">
                  <c:v>田中</c:v>
                </c:pt>
                <c:pt idx="5">
                  <c:v>伊藤</c:v>
                </c:pt>
                <c:pt idx="6">
                  <c:v>渡辺</c:v>
                </c:pt>
              </c:strCache>
            </c:strRef>
          </c:cat>
          <c:val>
            <c:numRef>
              <c:f>'AVERAGE, MEDIAN'!$C$5:$C$11</c:f>
              <c:numCache>
                <c:formatCode>#,##0;"△ "#,##0</c:formatCode>
                <c:ptCount val="7"/>
                <c:pt idx="0">
                  <c:v>100</c:v>
                </c:pt>
                <c:pt idx="1">
                  <c:v>45</c:v>
                </c:pt>
                <c:pt idx="2">
                  <c:v>45</c:v>
                </c:pt>
                <c:pt idx="3" formatCode="General">
                  <c:v>40</c:v>
                </c:pt>
                <c:pt idx="4">
                  <c:v>35</c:v>
                </c:pt>
                <c:pt idx="5">
                  <c:v>35</c:v>
                </c:pt>
                <c:pt idx="6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E15-40F9-8707-586EC5F178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2005366400"/>
        <c:axId val="850101232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accent2"/>
                      </a:solidFill>
                      <a:latin typeface="Arial" panose="020B0604020202020204" pitchFamily="34" charset="0"/>
                      <a:ea typeface="+mn-ea"/>
                      <a:cs typeface="+mn-cs"/>
                    </a:defRPr>
                  </a:pPr>
                  <a:endParaRPr lang="ja-JP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E15-40F9-8707-586EC5F178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'AVERAGE, MEDIAN'!$B$5:$B$11</c:f>
              <c:strCache>
                <c:ptCount val="7"/>
                <c:pt idx="0">
                  <c:v>佐藤</c:v>
                </c:pt>
                <c:pt idx="1">
                  <c:v>鈴木</c:v>
                </c:pt>
                <c:pt idx="2">
                  <c:v>高橋</c:v>
                </c:pt>
                <c:pt idx="3">
                  <c:v>川崎</c:v>
                </c:pt>
                <c:pt idx="4">
                  <c:v>田中</c:v>
                </c:pt>
                <c:pt idx="5">
                  <c:v>伊藤</c:v>
                </c:pt>
                <c:pt idx="6">
                  <c:v>渡辺</c:v>
                </c:pt>
              </c:strCache>
            </c:strRef>
          </c:cat>
          <c:val>
            <c:numRef>
              <c:f>'AVERAGE, MEDIAN'!$O$5:$O$11</c:f>
              <c:numCache>
                <c:formatCode>#,##0</c:formatCode>
                <c:ptCount val="7"/>
                <c:pt idx="0">
                  <c:v>47.142857142857146</c:v>
                </c:pt>
                <c:pt idx="1">
                  <c:v>47.142857142857146</c:v>
                </c:pt>
                <c:pt idx="2">
                  <c:v>47.142857142857146</c:v>
                </c:pt>
                <c:pt idx="3">
                  <c:v>47.142857142857146</c:v>
                </c:pt>
                <c:pt idx="4">
                  <c:v>47.142857142857146</c:v>
                </c:pt>
                <c:pt idx="5">
                  <c:v>47.142857142857146</c:v>
                </c:pt>
                <c:pt idx="6">
                  <c:v>47.142857142857146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E15-40F9-8707-586EC5F178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5366400"/>
        <c:axId val="850101232"/>
      </c:lineChart>
      <c:catAx>
        <c:axId val="200536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254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595959"/>
                </a:solidFill>
                <a:latin typeface="Arial"/>
                <a:ea typeface="Arial"/>
                <a:cs typeface="Arial"/>
              </a:defRPr>
            </a:pPr>
            <a:endParaRPr lang="ja-JP"/>
          </a:p>
        </c:txPr>
        <c:crossAx val="850101232"/>
        <c:crosses val="autoZero"/>
        <c:auto val="1"/>
        <c:lblAlgn val="ctr"/>
        <c:lblOffset val="100"/>
        <c:noMultiLvlLbl val="0"/>
      </c:catAx>
      <c:valAx>
        <c:axId val="850101232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rgbClr val="D9D9D9"/>
              </a:solidFill>
              <a:prstDash val="solid"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  <a:extLst>
            <a:ext uri="{91240B29-F687-4F45-9708-019B960494DF}">
              <a14:hiddenLine xmlns:a14="http://schemas.microsoft.com/office/drawing/2010/main">
                <a:noFill/>
              </a14:hiddenLine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Arial"/>
                <a:ea typeface="Arial"/>
                <a:cs typeface="Arial"/>
              </a:defRPr>
            </a:pPr>
            <a:endParaRPr lang="ja-JP"/>
          </a:p>
        </c:txPr>
        <c:crossAx val="2005366400"/>
        <c:crosses val="autoZero"/>
        <c:crossBetween val="between"/>
        <c:majorUnit val="2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bg1">
          <a:lumMod val="7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en-US" sz="1400" b="0" i="0" u="none" strike="noStrike" kern="1200" spc="0" baseline="0">
                <a:solidFill>
                  <a:srgbClr val="595959"/>
                </a:solidFill>
                <a:latin typeface="Arial"/>
                <a:ea typeface="Arial"/>
                <a:cs typeface="Arial"/>
              </a:defRPr>
            </a:pPr>
            <a:r>
              <a:rPr lang="ja-JP" altLang="en-US" baseline="0">
                <a:solidFill>
                  <a:schemeClr val="accent2"/>
                </a:solidFill>
              </a:rPr>
              <a:t>中央値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en-US" sz="1400" b="0" i="0" u="none" strike="noStrike" kern="1200" spc="0" baseline="0">
              <a:solidFill>
                <a:srgbClr val="595959"/>
              </a:solidFill>
              <a:latin typeface="Arial"/>
              <a:ea typeface="Arial"/>
              <a:cs typeface="Arial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9DE-4DFA-93CE-2D8E9BDC70EC}"/>
              </c:ext>
            </c:extLst>
          </c:dPt>
          <c:dLbls>
            <c:dLbl>
              <c:idx val="0"/>
              <c:numFmt formatCode="#,##0_ 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rgbClr val="0070C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ja-JP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A9DE-4DFA-93CE-2D8E9BDC70EC}"/>
                </c:ext>
              </c:extLst>
            </c:dLbl>
            <c:dLbl>
              <c:idx val="1"/>
              <c:numFmt formatCode="#,##0_ 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rgbClr val="0070C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ja-JP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A9DE-4DFA-93CE-2D8E9BDC70EC}"/>
                </c:ext>
              </c:extLst>
            </c:dLbl>
            <c:dLbl>
              <c:idx val="2"/>
              <c:numFmt formatCode="#,##0_ 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rgbClr val="0070C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ja-JP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A9DE-4DFA-93CE-2D8E9BDC70EC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accent2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ja-JP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A9DE-4DFA-93CE-2D8E9BDC70EC}"/>
                </c:ext>
              </c:extLst>
            </c:dLbl>
            <c:dLbl>
              <c:idx val="4"/>
              <c:numFmt formatCode="#,##0_ 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rgbClr val="0070C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ja-JP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A9DE-4DFA-93CE-2D8E9BDC70EC}"/>
                </c:ext>
              </c:extLst>
            </c:dLbl>
            <c:dLbl>
              <c:idx val="5"/>
              <c:numFmt formatCode="#,##0_ 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rgbClr val="0070C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ja-JP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A9DE-4DFA-93CE-2D8E9BDC70EC}"/>
                </c:ext>
              </c:extLst>
            </c:dLbl>
            <c:dLbl>
              <c:idx val="6"/>
              <c:numFmt formatCode="#,##0_ 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rgbClr val="0070C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ja-JP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A9DE-4DFA-93CE-2D8E9BDC70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rgbClr val="0070C0"/>
                    </a:solidFill>
                    <a:latin typeface="Arial"/>
                    <a:ea typeface="Arial"/>
                    <a:cs typeface="Arial"/>
                  </a:defRPr>
                </a:pPr>
                <a:endParaRPr lang="ja-JP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'AVERAGE, MEDIAN'!$B$5:$B$11</c:f>
              <c:strCache>
                <c:ptCount val="7"/>
                <c:pt idx="0">
                  <c:v>佐藤</c:v>
                </c:pt>
                <c:pt idx="1">
                  <c:v>鈴木</c:v>
                </c:pt>
                <c:pt idx="2">
                  <c:v>高橋</c:v>
                </c:pt>
                <c:pt idx="3">
                  <c:v>川崎</c:v>
                </c:pt>
                <c:pt idx="4">
                  <c:v>田中</c:v>
                </c:pt>
                <c:pt idx="5">
                  <c:v>伊藤</c:v>
                </c:pt>
                <c:pt idx="6">
                  <c:v>渡辺</c:v>
                </c:pt>
              </c:strCache>
            </c:strRef>
          </c:cat>
          <c:val>
            <c:numRef>
              <c:f>'AVERAGE, MEDIAN'!$C$5:$C$11</c:f>
              <c:numCache>
                <c:formatCode>#,##0;"△ "#,##0</c:formatCode>
                <c:ptCount val="7"/>
                <c:pt idx="0">
                  <c:v>100</c:v>
                </c:pt>
                <c:pt idx="1">
                  <c:v>45</c:v>
                </c:pt>
                <c:pt idx="2">
                  <c:v>45</c:v>
                </c:pt>
                <c:pt idx="3" formatCode="General">
                  <c:v>40</c:v>
                </c:pt>
                <c:pt idx="4">
                  <c:v>35</c:v>
                </c:pt>
                <c:pt idx="5">
                  <c:v>35</c:v>
                </c:pt>
                <c:pt idx="6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9DE-4DFA-93CE-2D8E9BDC70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2005366400"/>
        <c:axId val="850101232"/>
      </c:barChart>
      <c:catAx>
        <c:axId val="200536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254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595959"/>
                </a:solidFill>
                <a:latin typeface="Arial"/>
                <a:ea typeface="Arial"/>
                <a:cs typeface="Arial"/>
              </a:defRPr>
            </a:pPr>
            <a:endParaRPr lang="ja-JP"/>
          </a:p>
        </c:txPr>
        <c:crossAx val="850101232"/>
        <c:crosses val="autoZero"/>
        <c:auto val="1"/>
        <c:lblAlgn val="ctr"/>
        <c:lblOffset val="100"/>
        <c:noMultiLvlLbl val="0"/>
      </c:catAx>
      <c:valAx>
        <c:axId val="850101232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rgbClr val="D9D9D9"/>
              </a:solidFill>
              <a:prstDash val="solid"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  <a:extLst>
            <a:ext uri="{91240B29-F687-4F45-9708-019B960494DF}">
              <a14:hiddenLine xmlns:a14="http://schemas.microsoft.com/office/drawing/2010/main">
                <a:noFill/>
              </a14:hiddenLine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Arial"/>
                <a:ea typeface="Arial"/>
                <a:cs typeface="Arial"/>
              </a:defRPr>
            </a:pPr>
            <a:endParaRPr lang="ja-JP"/>
          </a:p>
        </c:txPr>
        <c:crossAx val="2005366400"/>
        <c:crosses val="autoZero"/>
        <c:crossBetween val="between"/>
        <c:majorUnit val="2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bg1">
          <a:lumMod val="7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[【Excel】関数.xlsx]ピボットグラフ!ピボットテーブル2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ピボットグラフ!$B$1:$B$2</c:f>
              <c:strCache>
                <c:ptCount val="1"/>
                <c:pt idx="0">
                  <c:v>ビール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ピボットグラフ!$A$3:$A$7</c:f>
              <c:strCache>
                <c:ptCount val="4"/>
                <c:pt idx="0">
                  <c:v>大阪</c:v>
                </c:pt>
                <c:pt idx="1">
                  <c:v>東京</c:v>
                </c:pt>
                <c:pt idx="2">
                  <c:v>福岡</c:v>
                </c:pt>
                <c:pt idx="3">
                  <c:v>名古屋</c:v>
                </c:pt>
              </c:strCache>
            </c:strRef>
          </c:cat>
          <c:val>
            <c:numRef>
              <c:f>ピボットグラフ!$B$3:$B$7</c:f>
              <c:numCache>
                <c:formatCode>General</c:formatCode>
                <c:ptCount val="4"/>
                <c:pt idx="0">
                  <c:v>1140000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94-448C-9CBF-1B7B7851AA82}"/>
            </c:ext>
          </c:extLst>
        </c:ser>
        <c:ser>
          <c:idx val="1"/>
          <c:order val="1"/>
          <c:tx>
            <c:strRef>
              <c:f>ピボットグラフ!$C$1:$C$2</c:f>
              <c:strCache>
                <c:ptCount val="1"/>
                <c:pt idx="0">
                  <c:v>ワイン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ピボットグラフ!$A$3:$A$7</c:f>
              <c:strCache>
                <c:ptCount val="4"/>
                <c:pt idx="0">
                  <c:v>大阪</c:v>
                </c:pt>
                <c:pt idx="1">
                  <c:v>東京</c:v>
                </c:pt>
                <c:pt idx="2">
                  <c:v>福岡</c:v>
                </c:pt>
                <c:pt idx="3">
                  <c:v>名古屋</c:v>
                </c:pt>
              </c:strCache>
            </c:strRef>
          </c:cat>
          <c:val>
            <c:numRef>
              <c:f>ピボットグラフ!$C$3:$C$7</c:f>
              <c:numCache>
                <c:formatCode>General</c:formatCode>
                <c:ptCount val="4"/>
                <c:pt idx="1">
                  <c:v>2250000</c:v>
                </c:pt>
                <c:pt idx="2">
                  <c:v>2250000</c:v>
                </c:pt>
                <c:pt idx="3">
                  <c:v>4500000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94-448C-9CBF-1B7B7851AA82}"/>
            </c:ext>
          </c:extLst>
        </c:ser>
        <c:ser>
          <c:idx val="2"/>
          <c:order val="2"/>
          <c:tx>
            <c:strRef>
              <c:f>ピボットグラフ!$D$1:$D$2</c:f>
              <c:strCache>
                <c:ptCount val="1"/>
                <c:pt idx="0">
                  <c:v>日本酒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ピボットグラフ!$A$3:$A$7</c:f>
              <c:strCache>
                <c:ptCount val="4"/>
                <c:pt idx="0">
                  <c:v>大阪</c:v>
                </c:pt>
                <c:pt idx="1">
                  <c:v>東京</c:v>
                </c:pt>
                <c:pt idx="2">
                  <c:v>福岡</c:v>
                </c:pt>
                <c:pt idx="3">
                  <c:v>名古屋</c:v>
                </c:pt>
              </c:strCache>
            </c:strRef>
          </c:cat>
          <c:val>
            <c:numRef>
              <c:f>ピボットグラフ!$D$3:$D$7</c:f>
              <c:numCache>
                <c:formatCode>General</c:formatCode>
                <c:ptCount val="4"/>
                <c:pt idx="1">
                  <c:v>450000</c:v>
                </c:pt>
                <c:pt idx="2">
                  <c:v>450000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394-448C-9CBF-1B7B7851AA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4411808"/>
        <c:axId val="472526768"/>
      </c:barChart>
      <c:catAx>
        <c:axId val="2084411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72526768"/>
        <c:crosses val="autoZero"/>
        <c:auto val="1"/>
        <c:lblAlgn val="ctr"/>
        <c:lblOffset val="100"/>
        <c:noMultiLvlLbl val="0"/>
      </c:catAx>
      <c:valAx>
        <c:axId val="47252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84411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6</xdr:col>
      <xdr:colOff>1318694</xdr:colOff>
      <xdr:row>25</xdr:row>
      <xdr:rowOff>176818</xdr:rowOff>
    </xdr:to>
    <xdr:graphicFrame macro="">
      <xdr:nvGraphicFramePr>
        <xdr:cNvPr id="2" name="IBF_20190728212412">
          <a:extLst>
            <a:ext uri="{FF2B5EF4-FFF2-40B4-BE49-F238E27FC236}">
              <a16:creationId xmlns:a16="http://schemas.microsoft.com/office/drawing/2014/main" id="{8BD290E9-FA99-4230-AC97-718F3DCE02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304800</xdr:colOff>
      <xdr:row>13</xdr:row>
      <xdr:rowOff>0</xdr:rowOff>
    </xdr:from>
    <xdr:to>
      <xdr:col>14</xdr:col>
      <xdr:colOff>72279</xdr:colOff>
      <xdr:row>25</xdr:row>
      <xdr:rowOff>176818</xdr:rowOff>
    </xdr:to>
    <xdr:graphicFrame macro="">
      <xdr:nvGraphicFramePr>
        <xdr:cNvPr id="3" name="IBF_20190728212412">
          <a:extLst>
            <a:ext uri="{FF2B5EF4-FFF2-40B4-BE49-F238E27FC236}">
              <a16:creationId xmlns:a16="http://schemas.microsoft.com/office/drawing/2014/main" id="{1BDF5C34-CE28-4145-B863-49ED7A584A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0.0139</cdr:x>
      <cdr:y>0.07987</cdr:y>
    </cdr:from>
    <cdr:to>
      <cdr:x>0.06726</cdr:x>
      <cdr:y>0.15297</cdr:y>
    </cdr:to>
    <cdr:sp macro="" textlink="">
      <cdr:nvSpPr>
        <cdr:cNvPr id="2" name="IBF_20190728212412_Unit1">
          <a:extLst xmlns:a="http://schemas.openxmlformats.org/drawingml/2006/main">
            <a:ext uri="{FF2B5EF4-FFF2-40B4-BE49-F238E27FC236}">
              <a16:creationId xmlns:a16="http://schemas.microsoft.com/office/drawing/2014/main" id="{BB8BC07E-D39F-420B-9216-41B5CDC93B40}"/>
            </a:ext>
          </a:extLst>
        </cdr:cNvPr>
        <cdr:cNvSpPr/>
      </cdr:nvSpPr>
      <cdr:spPr>
        <a:xfrm xmlns:a="http://schemas.openxmlformats.org/drawingml/2006/main">
          <a:off x="63500" y="219985"/>
          <a:ext cx="243656" cy="2013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2700" cap="flat" cmpd="sng" algn="ctr">
          <a:noFill/>
          <a:prstDash val="solid"/>
          <a:miter lim="800000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wrap="none" lIns="12700" tIns="25400" rIns="0" bIns="25400" anchor="ctr" anchorCtr="0">
          <a:spAutoFit/>
        </a:bodyPr>
        <a:lstStyle xmlns:a="http://schemas.openxmlformats.org/drawingml/2006/main"/>
        <a:p xmlns:a="http://schemas.openxmlformats.org/drawingml/2006/main">
          <a:r>
            <a:rPr lang="ja-JP" altLang="en-US" sz="900">
              <a:solidFill>
                <a:srgbClr val="595959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Arial" panose="020B0604020202020204" pitchFamily="34" charset="0"/>
            </a:rPr>
            <a:t>（点）</a:t>
          </a:r>
          <a:endParaRPr lang="ja-JP" sz="900">
            <a:solidFill>
              <a:srgbClr val="595959"/>
            </a:solidFill>
            <a:latin typeface="Arial" panose="020B0604020202020204" pitchFamily="34" charset="0"/>
            <a:ea typeface="ＭＳ Ｐゴシック" panose="020B0600070205080204" pitchFamily="50" charset="-128"/>
            <a:cs typeface="Arial" panose="020B0604020202020204" pitchFamily="34" charset="0"/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0.0139</cdr:x>
      <cdr:y>0.07987</cdr:y>
    </cdr:from>
    <cdr:to>
      <cdr:x>0.06726</cdr:x>
      <cdr:y>0.15297</cdr:y>
    </cdr:to>
    <cdr:sp macro="" textlink="">
      <cdr:nvSpPr>
        <cdr:cNvPr id="2" name="IBF_20190728212412_Unit1">
          <a:extLst xmlns:a="http://schemas.openxmlformats.org/drawingml/2006/main">
            <a:ext uri="{FF2B5EF4-FFF2-40B4-BE49-F238E27FC236}">
              <a16:creationId xmlns:a16="http://schemas.microsoft.com/office/drawing/2014/main" id="{BB8BC07E-D39F-420B-9216-41B5CDC93B40}"/>
            </a:ext>
          </a:extLst>
        </cdr:cNvPr>
        <cdr:cNvSpPr/>
      </cdr:nvSpPr>
      <cdr:spPr>
        <a:xfrm xmlns:a="http://schemas.openxmlformats.org/drawingml/2006/main">
          <a:off x="63500" y="219985"/>
          <a:ext cx="243656" cy="2013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2700" cap="flat" cmpd="sng" algn="ctr">
          <a:noFill/>
          <a:prstDash val="solid"/>
          <a:miter lim="800000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wrap="none" lIns="12700" tIns="25400" rIns="0" bIns="25400" anchor="ctr" anchorCtr="0">
          <a:spAutoFit/>
        </a:bodyPr>
        <a:lstStyle xmlns:a="http://schemas.openxmlformats.org/drawingml/2006/main"/>
        <a:p xmlns:a="http://schemas.openxmlformats.org/drawingml/2006/main">
          <a:r>
            <a:rPr lang="ja-JP" altLang="en-US" sz="900">
              <a:solidFill>
                <a:srgbClr val="595959"/>
              </a:solidFill>
              <a:latin typeface="Arial" panose="020B0604020202020204" pitchFamily="34" charset="0"/>
              <a:ea typeface="ＭＳ Ｐゴシック" panose="020B0600070205080204" pitchFamily="50" charset="-128"/>
              <a:cs typeface="Arial" panose="020B0604020202020204" pitchFamily="34" charset="0"/>
            </a:rPr>
            <a:t>（点）</a:t>
          </a:r>
          <a:endParaRPr lang="ja-JP" sz="900">
            <a:solidFill>
              <a:srgbClr val="595959"/>
            </a:solidFill>
            <a:latin typeface="Arial" panose="020B0604020202020204" pitchFamily="34" charset="0"/>
            <a:ea typeface="ＭＳ Ｐゴシック" panose="020B0600070205080204" pitchFamily="50" charset="-128"/>
            <a:cs typeface="Arial" panose="020B0604020202020204" pitchFamily="34" charset="0"/>
          </a:endParaRP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133350</xdr:colOff>
      <xdr:row>2</xdr:row>
      <xdr:rowOff>177800</xdr:rowOff>
    </xdr:from>
    <xdr:to>
      <xdr:col>11</xdr:col>
      <xdr:colOff>658586</xdr:colOff>
      <xdr:row>14</xdr:row>
      <xdr:rowOff>117929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BC548A71-1DC4-40A0-A706-740A271B89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&#12456;&#12463;&#12475;&#12523;&#38306;&#25968;&#12510;&#12473;&#12479;&#12540;&#12467;&#12540;&#12473;_&#23436;&#25104;&#29256;&#12501;&#12449;&#12452;&#12523;_190907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作成者" refreshedDate="43669.861790856485" createdVersion="6" refreshedVersion="6" minRefreshableVersion="3" recordCount="120" xr:uid="{2265B686-3B1F-468F-B61C-E6A36696B452}">
  <cacheSource type="worksheet">
    <worksheetSource ref="A1:D121" sheet="ピボットデータ" r:id="rId2"/>
  </cacheSource>
  <cacheFields count="4">
    <cacheField name="性別" numFmtId="3">
      <sharedItems count="2">
        <s v="男性"/>
        <s v="女性"/>
      </sharedItems>
    </cacheField>
    <cacheField name="商品" numFmtId="3">
      <sharedItems count="3">
        <s v="ワイン"/>
        <s v="ビール"/>
        <s v="日本酒"/>
      </sharedItems>
    </cacheField>
    <cacheField name="販売地域" numFmtId="3">
      <sharedItems count="4">
        <s v="東京"/>
        <s v="大阪"/>
        <s v="名古屋"/>
        <s v="福岡"/>
      </sharedItems>
    </cacheField>
    <cacheField name="販売数" numFmtId="3">
      <sharedItems containsSemiMixedTypes="0" containsString="0" containsNumber="1" containsInteger="1" minValue="30000" maxValue="15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x v="0"/>
    <x v="0"/>
    <x v="0"/>
    <n v="150000"/>
  </r>
  <r>
    <x v="1"/>
    <x v="1"/>
    <x v="1"/>
    <n v="38000"/>
  </r>
  <r>
    <x v="1"/>
    <x v="0"/>
    <x v="2"/>
    <n v="150000"/>
  </r>
  <r>
    <x v="0"/>
    <x v="2"/>
    <x v="3"/>
    <n v="30000"/>
  </r>
  <r>
    <x v="0"/>
    <x v="2"/>
    <x v="0"/>
    <n v="30000"/>
  </r>
  <r>
    <x v="0"/>
    <x v="1"/>
    <x v="1"/>
    <n v="38000"/>
  </r>
  <r>
    <x v="1"/>
    <x v="0"/>
    <x v="2"/>
    <n v="150000"/>
  </r>
  <r>
    <x v="1"/>
    <x v="0"/>
    <x v="3"/>
    <n v="150000"/>
  </r>
  <r>
    <x v="0"/>
    <x v="0"/>
    <x v="0"/>
    <n v="150000"/>
  </r>
  <r>
    <x v="0"/>
    <x v="1"/>
    <x v="1"/>
    <n v="38000"/>
  </r>
  <r>
    <x v="0"/>
    <x v="0"/>
    <x v="2"/>
    <n v="150000"/>
  </r>
  <r>
    <x v="1"/>
    <x v="2"/>
    <x v="3"/>
    <n v="30000"/>
  </r>
  <r>
    <x v="1"/>
    <x v="2"/>
    <x v="0"/>
    <n v="30000"/>
  </r>
  <r>
    <x v="0"/>
    <x v="1"/>
    <x v="1"/>
    <n v="38000"/>
  </r>
  <r>
    <x v="0"/>
    <x v="0"/>
    <x v="2"/>
    <n v="150000"/>
  </r>
  <r>
    <x v="0"/>
    <x v="0"/>
    <x v="3"/>
    <n v="150000"/>
  </r>
  <r>
    <x v="1"/>
    <x v="0"/>
    <x v="0"/>
    <n v="150000"/>
  </r>
  <r>
    <x v="1"/>
    <x v="1"/>
    <x v="1"/>
    <n v="38000"/>
  </r>
  <r>
    <x v="0"/>
    <x v="0"/>
    <x v="2"/>
    <n v="150000"/>
  </r>
  <r>
    <x v="0"/>
    <x v="2"/>
    <x v="3"/>
    <n v="30000"/>
  </r>
  <r>
    <x v="0"/>
    <x v="2"/>
    <x v="0"/>
    <n v="30000"/>
  </r>
  <r>
    <x v="1"/>
    <x v="1"/>
    <x v="1"/>
    <n v="38000"/>
  </r>
  <r>
    <x v="1"/>
    <x v="0"/>
    <x v="2"/>
    <n v="150000"/>
  </r>
  <r>
    <x v="0"/>
    <x v="0"/>
    <x v="3"/>
    <n v="150000"/>
  </r>
  <r>
    <x v="0"/>
    <x v="0"/>
    <x v="0"/>
    <n v="150000"/>
  </r>
  <r>
    <x v="0"/>
    <x v="1"/>
    <x v="1"/>
    <n v="38000"/>
  </r>
  <r>
    <x v="1"/>
    <x v="0"/>
    <x v="2"/>
    <n v="150000"/>
  </r>
  <r>
    <x v="1"/>
    <x v="2"/>
    <x v="3"/>
    <n v="30000"/>
  </r>
  <r>
    <x v="0"/>
    <x v="2"/>
    <x v="0"/>
    <n v="30000"/>
  </r>
  <r>
    <x v="0"/>
    <x v="1"/>
    <x v="1"/>
    <n v="38000"/>
  </r>
  <r>
    <x v="0"/>
    <x v="0"/>
    <x v="2"/>
    <n v="150000"/>
  </r>
  <r>
    <x v="1"/>
    <x v="0"/>
    <x v="3"/>
    <n v="150000"/>
  </r>
  <r>
    <x v="1"/>
    <x v="0"/>
    <x v="0"/>
    <n v="150000"/>
  </r>
  <r>
    <x v="0"/>
    <x v="1"/>
    <x v="1"/>
    <n v="38000"/>
  </r>
  <r>
    <x v="0"/>
    <x v="0"/>
    <x v="2"/>
    <n v="150000"/>
  </r>
  <r>
    <x v="0"/>
    <x v="2"/>
    <x v="3"/>
    <n v="30000"/>
  </r>
  <r>
    <x v="1"/>
    <x v="2"/>
    <x v="0"/>
    <n v="30000"/>
  </r>
  <r>
    <x v="1"/>
    <x v="1"/>
    <x v="1"/>
    <n v="38000"/>
  </r>
  <r>
    <x v="0"/>
    <x v="0"/>
    <x v="2"/>
    <n v="150000"/>
  </r>
  <r>
    <x v="0"/>
    <x v="0"/>
    <x v="3"/>
    <n v="150000"/>
  </r>
  <r>
    <x v="0"/>
    <x v="0"/>
    <x v="0"/>
    <n v="150000"/>
  </r>
  <r>
    <x v="1"/>
    <x v="1"/>
    <x v="1"/>
    <n v="38000"/>
  </r>
  <r>
    <x v="1"/>
    <x v="0"/>
    <x v="2"/>
    <n v="150000"/>
  </r>
  <r>
    <x v="0"/>
    <x v="2"/>
    <x v="3"/>
    <n v="30000"/>
  </r>
  <r>
    <x v="0"/>
    <x v="2"/>
    <x v="0"/>
    <n v="30000"/>
  </r>
  <r>
    <x v="0"/>
    <x v="1"/>
    <x v="1"/>
    <n v="38000"/>
  </r>
  <r>
    <x v="1"/>
    <x v="0"/>
    <x v="2"/>
    <n v="150000"/>
  </r>
  <r>
    <x v="1"/>
    <x v="0"/>
    <x v="3"/>
    <n v="150000"/>
  </r>
  <r>
    <x v="0"/>
    <x v="0"/>
    <x v="0"/>
    <n v="150000"/>
  </r>
  <r>
    <x v="0"/>
    <x v="1"/>
    <x v="1"/>
    <n v="38000"/>
  </r>
  <r>
    <x v="0"/>
    <x v="0"/>
    <x v="2"/>
    <n v="150000"/>
  </r>
  <r>
    <x v="1"/>
    <x v="2"/>
    <x v="3"/>
    <n v="30000"/>
  </r>
  <r>
    <x v="1"/>
    <x v="2"/>
    <x v="0"/>
    <n v="30000"/>
  </r>
  <r>
    <x v="0"/>
    <x v="1"/>
    <x v="1"/>
    <n v="38000"/>
  </r>
  <r>
    <x v="0"/>
    <x v="0"/>
    <x v="2"/>
    <n v="150000"/>
  </r>
  <r>
    <x v="0"/>
    <x v="0"/>
    <x v="3"/>
    <n v="150000"/>
  </r>
  <r>
    <x v="1"/>
    <x v="0"/>
    <x v="0"/>
    <n v="150000"/>
  </r>
  <r>
    <x v="1"/>
    <x v="1"/>
    <x v="1"/>
    <n v="38000"/>
  </r>
  <r>
    <x v="0"/>
    <x v="0"/>
    <x v="2"/>
    <n v="150000"/>
  </r>
  <r>
    <x v="0"/>
    <x v="2"/>
    <x v="3"/>
    <n v="30000"/>
  </r>
  <r>
    <x v="0"/>
    <x v="2"/>
    <x v="0"/>
    <n v="30000"/>
  </r>
  <r>
    <x v="1"/>
    <x v="1"/>
    <x v="1"/>
    <n v="38000"/>
  </r>
  <r>
    <x v="1"/>
    <x v="0"/>
    <x v="2"/>
    <n v="150000"/>
  </r>
  <r>
    <x v="0"/>
    <x v="0"/>
    <x v="3"/>
    <n v="150000"/>
  </r>
  <r>
    <x v="0"/>
    <x v="0"/>
    <x v="0"/>
    <n v="150000"/>
  </r>
  <r>
    <x v="0"/>
    <x v="1"/>
    <x v="1"/>
    <n v="38000"/>
  </r>
  <r>
    <x v="1"/>
    <x v="0"/>
    <x v="2"/>
    <n v="150000"/>
  </r>
  <r>
    <x v="1"/>
    <x v="2"/>
    <x v="3"/>
    <n v="30000"/>
  </r>
  <r>
    <x v="0"/>
    <x v="2"/>
    <x v="0"/>
    <n v="30000"/>
  </r>
  <r>
    <x v="0"/>
    <x v="1"/>
    <x v="1"/>
    <n v="38000"/>
  </r>
  <r>
    <x v="0"/>
    <x v="0"/>
    <x v="2"/>
    <n v="150000"/>
  </r>
  <r>
    <x v="1"/>
    <x v="0"/>
    <x v="3"/>
    <n v="150000"/>
  </r>
  <r>
    <x v="1"/>
    <x v="0"/>
    <x v="0"/>
    <n v="150000"/>
  </r>
  <r>
    <x v="0"/>
    <x v="1"/>
    <x v="1"/>
    <n v="38000"/>
  </r>
  <r>
    <x v="0"/>
    <x v="0"/>
    <x v="2"/>
    <n v="150000"/>
  </r>
  <r>
    <x v="0"/>
    <x v="2"/>
    <x v="3"/>
    <n v="30000"/>
  </r>
  <r>
    <x v="1"/>
    <x v="2"/>
    <x v="0"/>
    <n v="30000"/>
  </r>
  <r>
    <x v="1"/>
    <x v="1"/>
    <x v="1"/>
    <n v="38000"/>
  </r>
  <r>
    <x v="0"/>
    <x v="0"/>
    <x v="2"/>
    <n v="150000"/>
  </r>
  <r>
    <x v="0"/>
    <x v="0"/>
    <x v="3"/>
    <n v="150000"/>
  </r>
  <r>
    <x v="0"/>
    <x v="0"/>
    <x v="0"/>
    <n v="150000"/>
  </r>
  <r>
    <x v="1"/>
    <x v="1"/>
    <x v="1"/>
    <n v="38000"/>
  </r>
  <r>
    <x v="1"/>
    <x v="0"/>
    <x v="2"/>
    <n v="150000"/>
  </r>
  <r>
    <x v="0"/>
    <x v="2"/>
    <x v="3"/>
    <n v="30000"/>
  </r>
  <r>
    <x v="0"/>
    <x v="2"/>
    <x v="0"/>
    <n v="30000"/>
  </r>
  <r>
    <x v="0"/>
    <x v="1"/>
    <x v="1"/>
    <n v="38000"/>
  </r>
  <r>
    <x v="1"/>
    <x v="0"/>
    <x v="2"/>
    <n v="150000"/>
  </r>
  <r>
    <x v="1"/>
    <x v="0"/>
    <x v="3"/>
    <n v="150000"/>
  </r>
  <r>
    <x v="0"/>
    <x v="0"/>
    <x v="0"/>
    <n v="150000"/>
  </r>
  <r>
    <x v="0"/>
    <x v="1"/>
    <x v="1"/>
    <n v="38000"/>
  </r>
  <r>
    <x v="0"/>
    <x v="0"/>
    <x v="2"/>
    <n v="150000"/>
  </r>
  <r>
    <x v="1"/>
    <x v="2"/>
    <x v="3"/>
    <n v="30000"/>
  </r>
  <r>
    <x v="1"/>
    <x v="2"/>
    <x v="0"/>
    <n v="30000"/>
  </r>
  <r>
    <x v="0"/>
    <x v="1"/>
    <x v="1"/>
    <n v="38000"/>
  </r>
  <r>
    <x v="0"/>
    <x v="0"/>
    <x v="2"/>
    <n v="150000"/>
  </r>
  <r>
    <x v="0"/>
    <x v="0"/>
    <x v="3"/>
    <n v="150000"/>
  </r>
  <r>
    <x v="1"/>
    <x v="0"/>
    <x v="0"/>
    <n v="150000"/>
  </r>
  <r>
    <x v="1"/>
    <x v="1"/>
    <x v="1"/>
    <n v="38000"/>
  </r>
  <r>
    <x v="0"/>
    <x v="0"/>
    <x v="2"/>
    <n v="150000"/>
  </r>
  <r>
    <x v="0"/>
    <x v="2"/>
    <x v="3"/>
    <n v="30000"/>
  </r>
  <r>
    <x v="0"/>
    <x v="2"/>
    <x v="0"/>
    <n v="30000"/>
  </r>
  <r>
    <x v="1"/>
    <x v="1"/>
    <x v="1"/>
    <n v="38000"/>
  </r>
  <r>
    <x v="1"/>
    <x v="0"/>
    <x v="2"/>
    <n v="150000"/>
  </r>
  <r>
    <x v="0"/>
    <x v="0"/>
    <x v="3"/>
    <n v="150000"/>
  </r>
  <r>
    <x v="0"/>
    <x v="0"/>
    <x v="0"/>
    <n v="150000"/>
  </r>
  <r>
    <x v="0"/>
    <x v="1"/>
    <x v="1"/>
    <n v="38000"/>
  </r>
  <r>
    <x v="1"/>
    <x v="0"/>
    <x v="2"/>
    <n v="150000"/>
  </r>
  <r>
    <x v="1"/>
    <x v="2"/>
    <x v="3"/>
    <n v="30000"/>
  </r>
  <r>
    <x v="0"/>
    <x v="2"/>
    <x v="0"/>
    <n v="30000"/>
  </r>
  <r>
    <x v="0"/>
    <x v="1"/>
    <x v="1"/>
    <n v="38000"/>
  </r>
  <r>
    <x v="0"/>
    <x v="0"/>
    <x v="2"/>
    <n v="150000"/>
  </r>
  <r>
    <x v="1"/>
    <x v="0"/>
    <x v="3"/>
    <n v="150000"/>
  </r>
  <r>
    <x v="1"/>
    <x v="0"/>
    <x v="0"/>
    <n v="150000"/>
  </r>
  <r>
    <x v="0"/>
    <x v="1"/>
    <x v="1"/>
    <n v="38000"/>
  </r>
  <r>
    <x v="0"/>
    <x v="0"/>
    <x v="2"/>
    <n v="150000"/>
  </r>
  <r>
    <x v="0"/>
    <x v="2"/>
    <x v="3"/>
    <n v="30000"/>
  </r>
  <r>
    <x v="1"/>
    <x v="2"/>
    <x v="0"/>
    <n v="30000"/>
  </r>
  <r>
    <x v="1"/>
    <x v="1"/>
    <x v="1"/>
    <n v="38000"/>
  </r>
  <r>
    <x v="0"/>
    <x v="0"/>
    <x v="2"/>
    <n v="150000"/>
  </r>
  <r>
    <x v="0"/>
    <x v="0"/>
    <x v="3"/>
    <n v="15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A38590-54CD-490C-B774-3544489485CE}" name="ピボットテーブル1" cacheId="0" applyNumberFormats="0" applyBorderFormats="0" applyFontFormats="0" applyPatternFormats="0" applyAlignmentFormats="0" applyWidthHeightFormats="1" dataCaption="値" updatedVersion="6" minRefreshableVersion="3" useAutoFormatting="1" itemPrintTitles="1" createdVersion="6" indent="0" outline="1" outlineData="1" multipleFieldFilters="0">
  <location ref="A3:E17" firstHeaderRow="1" firstDataRow="2" firstDataCol="1"/>
  <pivotFields count="4">
    <pivotField axis="axisRow" showAll="0">
      <items count="3">
        <item x="1"/>
        <item x="0"/>
        <item t="default"/>
      </items>
    </pivotField>
    <pivotField axis="axisCol" showAll="0">
      <items count="4">
        <item x="1"/>
        <item x="0"/>
        <item x="2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dataField="1" numFmtId="3" showAll="0"/>
  </pivotFields>
  <rowFields count="2">
    <field x="2"/>
    <field x="0"/>
  </rowFields>
  <rowItems count="13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合計 / 販売数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B553C2-EE01-41A0-BB78-864C9433B60C}" name="ピボットテーブル2" cacheId="0" applyNumberFormats="0" applyBorderFormats="0" applyFontFormats="0" applyPatternFormats="0" applyAlignmentFormats="0" applyWidthHeightFormats="1" dataCaption="値" updatedVersion="6" minRefreshableVersion="3" useAutoFormatting="1" itemPrintTitles="1" createdVersion="6" indent="0" outline="1" outlineData="1" multipleFieldFilters="0" chartFormat="2">
  <location ref="A1:E7" firstHeaderRow="1" firstDataRow="2" firstDataCol="1"/>
  <pivotFields count="4">
    <pivotField showAll="0"/>
    <pivotField axis="axisCol" showAll="0">
      <items count="4">
        <item x="1"/>
        <item x="0"/>
        <item x="2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dataField="1" numFmtId="3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合計 / 販売数" fld="3" baseField="0" baseItem="0"/>
  </dataFields>
  <chartFormats count="9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14E0C-9C61-4762-A08B-7CE86C4D60B3}">
  <sheetPr>
    <tabColor theme="9" tint="-0.249977111117893"/>
  </sheetPr>
  <dimension ref="B2:Q33"/>
  <sheetViews>
    <sheetView tabSelected="1" zoomScaleNormal="100" workbookViewId="0"/>
  </sheetViews>
  <sheetFormatPr defaultRowHeight="18"/>
  <cols>
    <col min="1" max="1" width="3.25" customWidth="1"/>
    <col min="9" max="9" width="5" customWidth="1"/>
    <col min="10" max="10" width="5.08203125" customWidth="1"/>
    <col min="13" max="13" width="12.83203125" customWidth="1"/>
    <col min="16" max="16" width="4.6640625" customWidth="1"/>
  </cols>
  <sheetData>
    <row r="2" spans="2:17" ht="22.5">
      <c r="B2" s="362" t="s">
        <v>348</v>
      </c>
      <c r="C2" s="377"/>
      <c r="D2" s="377"/>
      <c r="E2" s="377"/>
    </row>
    <row r="4" spans="2:17">
      <c r="B4" t="s">
        <v>347</v>
      </c>
    </row>
    <row r="5" spans="2:17">
      <c r="B5" t="s">
        <v>335</v>
      </c>
    </row>
    <row r="6" spans="2:17">
      <c r="B6" t="s">
        <v>336</v>
      </c>
    </row>
    <row r="8" spans="2:17" ht="18.5" thickBot="1"/>
    <row r="9" spans="2:17" ht="18.5" thickBot="1">
      <c r="B9" s="383" t="s">
        <v>310</v>
      </c>
      <c r="C9" s="384"/>
      <c r="D9" s="384"/>
      <c r="E9" s="384"/>
      <c r="F9" s="384"/>
      <c r="G9" s="385"/>
      <c r="H9" s="400"/>
      <c r="I9" s="389" t="s">
        <v>306</v>
      </c>
      <c r="J9" s="381"/>
      <c r="K9" s="381"/>
      <c r="L9" s="381"/>
      <c r="M9" s="381"/>
      <c r="N9" s="381"/>
      <c r="O9" s="381"/>
      <c r="P9" s="382"/>
    </row>
    <row r="10" spans="2:17">
      <c r="B10" s="374" t="s">
        <v>311</v>
      </c>
      <c r="C10" s="375"/>
      <c r="D10" s="375"/>
      <c r="E10" s="375"/>
      <c r="F10" s="375"/>
      <c r="G10" s="376"/>
      <c r="I10" s="374" t="s">
        <v>307</v>
      </c>
      <c r="J10" s="375"/>
      <c r="K10" s="375"/>
      <c r="L10" s="375"/>
      <c r="M10" s="375"/>
      <c r="N10" s="375"/>
      <c r="O10" s="375"/>
      <c r="P10" s="376"/>
    </row>
    <row r="11" spans="2:17">
      <c r="B11" s="368" t="s">
        <v>312</v>
      </c>
      <c r="C11" s="369"/>
      <c r="D11" s="369"/>
      <c r="E11" s="369"/>
      <c r="F11" s="369"/>
      <c r="G11" s="370"/>
      <c r="I11" s="368" t="s">
        <v>308</v>
      </c>
      <c r="J11" s="369"/>
      <c r="K11" s="369"/>
      <c r="L11" s="369"/>
      <c r="M11" s="369"/>
      <c r="N11" s="369"/>
      <c r="O11" s="369"/>
      <c r="P11" s="370"/>
    </row>
    <row r="12" spans="2:17">
      <c r="B12" s="368" t="s">
        <v>327</v>
      </c>
      <c r="C12" s="369"/>
      <c r="D12" s="369"/>
      <c r="E12" s="369"/>
      <c r="F12" s="369"/>
      <c r="G12" s="370"/>
      <c r="I12" s="368" t="s">
        <v>309</v>
      </c>
      <c r="J12" s="369"/>
      <c r="K12" s="369"/>
      <c r="L12" s="369"/>
      <c r="M12" s="369"/>
      <c r="N12" s="369"/>
      <c r="O12" s="369"/>
      <c r="P12" s="370"/>
    </row>
    <row r="13" spans="2:17" ht="18.5" thickBot="1">
      <c r="B13" s="371" t="s">
        <v>313</v>
      </c>
      <c r="C13" s="372"/>
      <c r="D13" s="372"/>
      <c r="E13" s="372"/>
      <c r="F13" s="372"/>
      <c r="G13" s="373"/>
      <c r="I13" s="371" t="s">
        <v>346</v>
      </c>
      <c r="J13" s="372"/>
      <c r="K13" s="372"/>
      <c r="L13" s="372"/>
      <c r="M13" s="372"/>
      <c r="N13" s="372"/>
      <c r="O13" s="372"/>
      <c r="P13" s="373"/>
    </row>
    <row r="15" spans="2:17" ht="18.5" thickBot="1"/>
    <row r="16" spans="2:17" ht="18.5" thickBot="1">
      <c r="B16" s="386" t="s">
        <v>316</v>
      </c>
      <c r="C16" s="387"/>
      <c r="D16" s="387"/>
      <c r="E16" s="387"/>
      <c r="F16" s="387"/>
      <c r="G16" s="388"/>
      <c r="I16" s="378" t="s">
        <v>330</v>
      </c>
      <c r="J16" s="390"/>
      <c r="K16" s="390"/>
      <c r="L16" s="390"/>
      <c r="M16" s="390"/>
      <c r="N16" s="390"/>
      <c r="O16" s="380"/>
      <c r="Q16" s="400"/>
    </row>
    <row r="17" spans="2:15">
      <c r="B17" s="368" t="s">
        <v>318</v>
      </c>
      <c r="C17" s="369"/>
      <c r="D17" s="369"/>
      <c r="E17" s="369"/>
      <c r="F17" s="369"/>
      <c r="G17" s="370"/>
      <c r="I17" s="365" t="s">
        <v>331</v>
      </c>
      <c r="J17" s="366"/>
      <c r="K17" s="366"/>
      <c r="L17" s="366"/>
      <c r="M17" s="366"/>
      <c r="N17" s="366"/>
      <c r="O17" s="367"/>
    </row>
    <row r="18" spans="2:15">
      <c r="B18" s="368" t="s">
        <v>317</v>
      </c>
      <c r="C18" s="369"/>
      <c r="D18" s="369"/>
      <c r="E18" s="369"/>
      <c r="F18" s="369"/>
      <c r="G18" s="370"/>
      <c r="I18" s="368" t="s">
        <v>332</v>
      </c>
      <c r="J18" s="369"/>
      <c r="K18" s="369"/>
      <c r="L18" s="369"/>
      <c r="M18" s="369"/>
      <c r="N18" s="369"/>
      <c r="O18" s="370"/>
    </row>
    <row r="19" spans="2:15">
      <c r="B19" s="374" t="s">
        <v>342</v>
      </c>
      <c r="C19" s="375"/>
      <c r="D19" s="375"/>
      <c r="E19" s="375"/>
      <c r="F19" s="375"/>
      <c r="G19" s="376"/>
      <c r="I19" s="368" t="s">
        <v>333</v>
      </c>
      <c r="J19" s="369"/>
      <c r="K19" s="369"/>
      <c r="L19" s="369"/>
      <c r="M19" s="369"/>
      <c r="N19" s="369"/>
      <c r="O19" s="370"/>
    </row>
    <row r="20" spans="2:15" ht="18.5" thickBot="1">
      <c r="B20" s="371" t="s">
        <v>319</v>
      </c>
      <c r="C20" s="372"/>
      <c r="D20" s="372"/>
      <c r="E20" s="372"/>
      <c r="F20" s="372"/>
      <c r="G20" s="373"/>
      <c r="I20" s="371" t="s">
        <v>334</v>
      </c>
      <c r="J20" s="372"/>
      <c r="K20" s="372"/>
      <c r="L20" s="372"/>
      <c r="M20" s="372"/>
      <c r="N20" s="372"/>
      <c r="O20" s="373"/>
    </row>
    <row r="22" spans="2:15" ht="18.5" thickBot="1"/>
    <row r="23" spans="2:15" ht="18.5" thickBot="1">
      <c r="B23" s="397" t="s">
        <v>320</v>
      </c>
      <c r="C23" s="398"/>
      <c r="D23" s="398"/>
      <c r="E23" s="398"/>
      <c r="F23" s="398"/>
      <c r="G23" s="399"/>
      <c r="I23" s="401" t="s">
        <v>314</v>
      </c>
      <c r="J23" s="402"/>
      <c r="K23" s="402"/>
      <c r="L23" s="402"/>
      <c r="M23" s="402"/>
      <c r="N23" s="403"/>
    </row>
    <row r="24" spans="2:15">
      <c r="B24" s="374" t="s">
        <v>321</v>
      </c>
      <c r="C24" s="375"/>
      <c r="D24" s="375"/>
      <c r="E24" s="375"/>
      <c r="F24" s="375"/>
      <c r="G24" s="376"/>
      <c r="I24" s="374" t="s">
        <v>315</v>
      </c>
      <c r="J24" s="375"/>
      <c r="K24" s="375"/>
      <c r="L24" s="375"/>
      <c r="M24" s="375"/>
      <c r="N24" s="376"/>
    </row>
    <row r="25" spans="2:15" ht="18.5" thickBot="1">
      <c r="B25" s="368" t="s">
        <v>322</v>
      </c>
      <c r="C25" s="369"/>
      <c r="D25" s="369"/>
      <c r="E25" s="369"/>
      <c r="F25" s="369"/>
      <c r="G25" s="370"/>
      <c r="I25" s="371" t="s">
        <v>343</v>
      </c>
      <c r="J25" s="372"/>
      <c r="K25" s="372"/>
      <c r="L25" s="372"/>
      <c r="M25" s="372"/>
      <c r="N25" s="373"/>
    </row>
    <row r="26" spans="2:15" ht="18.5" thickBot="1">
      <c r="B26" s="368" t="s">
        <v>323</v>
      </c>
      <c r="C26" s="369"/>
      <c r="D26" s="369"/>
      <c r="E26" s="369"/>
      <c r="F26" s="369"/>
      <c r="G26" s="370"/>
    </row>
    <row r="27" spans="2:15" ht="18.5" thickBot="1">
      <c r="B27" s="371" t="s">
        <v>324</v>
      </c>
      <c r="C27" s="372"/>
      <c r="D27" s="372"/>
      <c r="E27" s="372"/>
      <c r="F27" s="372"/>
      <c r="G27" s="373"/>
      <c r="I27" s="391" t="s">
        <v>328</v>
      </c>
      <c r="J27" s="392"/>
      <c r="K27" s="392"/>
      <c r="L27" s="392"/>
      <c r="M27" s="392"/>
      <c r="N27" s="393"/>
    </row>
    <row r="28" spans="2:15">
      <c r="I28" s="374" t="s">
        <v>329</v>
      </c>
      <c r="J28" s="375"/>
      <c r="K28" s="375"/>
      <c r="L28" s="375"/>
      <c r="M28" s="375"/>
      <c r="N28" s="376"/>
    </row>
    <row r="29" spans="2:15" ht="18.5" thickBot="1">
      <c r="I29" s="371" t="s">
        <v>345</v>
      </c>
      <c r="J29" s="372"/>
      <c r="K29" s="372"/>
      <c r="L29" s="372"/>
      <c r="M29" s="372"/>
      <c r="N29" s="373"/>
    </row>
    <row r="30" spans="2:15" ht="18.5" thickBot="1"/>
    <row r="31" spans="2:15" ht="18.5" thickBot="1">
      <c r="B31" s="394" t="s">
        <v>325</v>
      </c>
      <c r="C31" s="395"/>
      <c r="D31" s="395"/>
      <c r="E31" s="396"/>
      <c r="I31" s="378" t="s">
        <v>303</v>
      </c>
      <c r="J31" s="379"/>
      <c r="K31" s="379"/>
      <c r="L31" s="379"/>
      <c r="M31" s="380"/>
    </row>
    <row r="32" spans="2:15">
      <c r="B32" s="374" t="s">
        <v>326</v>
      </c>
      <c r="C32" s="375"/>
      <c r="D32" s="375"/>
      <c r="E32" s="376"/>
      <c r="I32" s="365" t="s">
        <v>304</v>
      </c>
      <c r="J32" s="366"/>
      <c r="K32" s="366"/>
      <c r="L32" s="366"/>
      <c r="M32" s="367"/>
    </row>
    <row r="33" spans="2:13" ht="18.5" thickBot="1">
      <c r="B33" s="371" t="s">
        <v>344</v>
      </c>
      <c r="C33" s="372"/>
      <c r="D33" s="372"/>
      <c r="E33" s="373"/>
      <c r="I33" s="371" t="s">
        <v>305</v>
      </c>
      <c r="J33" s="372"/>
      <c r="K33" s="372"/>
      <c r="L33" s="372"/>
      <c r="M33" s="373"/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217F2-B79C-48AA-A0DF-11FD74AB9855}">
  <sheetPr>
    <tabColor rgb="FFFFCCCC"/>
  </sheetPr>
  <dimension ref="B1:E13"/>
  <sheetViews>
    <sheetView showGridLines="0" zoomScaleNormal="100" workbookViewId="0"/>
  </sheetViews>
  <sheetFormatPr defaultColWidth="9" defaultRowHeight="18" customHeight="1"/>
  <cols>
    <col min="1" max="1" width="3.58203125" style="2" customWidth="1"/>
    <col min="2" max="4" width="9" style="2"/>
    <col min="5" max="5" width="16.75" style="2" customWidth="1"/>
    <col min="6" max="16384" width="9" style="2"/>
  </cols>
  <sheetData>
    <row r="1" spans="2:5" ht="18" customHeight="1">
      <c r="B1" s="334" t="s">
        <v>261</v>
      </c>
    </row>
    <row r="2" spans="2:5" ht="18" customHeight="1" thickBot="1">
      <c r="B2" s="332"/>
    </row>
    <row r="3" spans="2:5" ht="18" customHeight="1">
      <c r="B3" s="3" t="s">
        <v>0</v>
      </c>
      <c r="C3" s="4"/>
      <c r="D3" s="4"/>
      <c r="E3" s="4"/>
    </row>
    <row r="4" spans="2:5" ht="18" customHeight="1">
      <c r="B4" s="5" t="s">
        <v>1</v>
      </c>
      <c r="C4" s="6"/>
      <c r="D4" s="6"/>
      <c r="E4" s="7"/>
    </row>
    <row r="5" spans="2:5" ht="18" customHeight="1">
      <c r="B5" s="8"/>
      <c r="C5" s="9" t="s">
        <v>2</v>
      </c>
      <c r="D5" s="9" t="s">
        <v>3</v>
      </c>
      <c r="E5" s="9" t="s">
        <v>4</v>
      </c>
    </row>
    <row r="6" spans="2:5" ht="18" customHeight="1">
      <c r="B6" s="10" t="s">
        <v>5</v>
      </c>
      <c r="C6" s="11">
        <v>874</v>
      </c>
      <c r="D6" s="11">
        <v>925</v>
      </c>
      <c r="E6" s="333" t="str">
        <f>IF(D6&gt;=C6,"〇","")</f>
        <v>〇</v>
      </c>
    </row>
    <row r="7" spans="2:5" ht="18" customHeight="1">
      <c r="B7" s="10" t="s">
        <v>6</v>
      </c>
      <c r="C7" s="11">
        <v>265</v>
      </c>
      <c r="D7" s="11">
        <v>288</v>
      </c>
      <c r="E7" s="333" t="str">
        <f t="shared" ref="E7:E12" si="0">IF(D7&gt;=C7,"〇","")</f>
        <v>〇</v>
      </c>
    </row>
    <row r="8" spans="2:5" ht="18" customHeight="1">
      <c r="B8" s="10" t="s">
        <v>7</v>
      </c>
      <c r="C8" s="11">
        <v>200</v>
      </c>
      <c r="D8" s="11">
        <v>200</v>
      </c>
      <c r="E8" s="333" t="str">
        <f t="shared" si="0"/>
        <v>〇</v>
      </c>
    </row>
    <row r="9" spans="2:5" ht="18" customHeight="1">
      <c r="B9" s="10" t="s">
        <v>8</v>
      </c>
      <c r="C9" s="11">
        <v>513</v>
      </c>
      <c r="D9" s="11">
        <v>509</v>
      </c>
      <c r="E9" s="333" t="str">
        <f t="shared" si="0"/>
        <v/>
      </c>
    </row>
    <row r="10" spans="2:5" ht="18" customHeight="1">
      <c r="B10" s="10" t="s">
        <v>9</v>
      </c>
      <c r="C10" s="11">
        <v>687</v>
      </c>
      <c r="D10" s="11">
        <v>635</v>
      </c>
      <c r="E10" s="333" t="str">
        <f t="shared" si="0"/>
        <v/>
      </c>
    </row>
    <row r="11" spans="2:5" ht="18" customHeight="1">
      <c r="B11" s="12" t="s">
        <v>10</v>
      </c>
      <c r="C11" s="11">
        <v>613</v>
      </c>
      <c r="D11" s="11">
        <v>613</v>
      </c>
      <c r="E11" s="333" t="str">
        <f t="shared" si="0"/>
        <v>〇</v>
      </c>
    </row>
    <row r="12" spans="2:5" ht="18" customHeight="1">
      <c r="B12" s="13" t="s">
        <v>11</v>
      </c>
      <c r="C12" s="11">
        <v>916</v>
      </c>
      <c r="D12" s="11">
        <v>967</v>
      </c>
      <c r="E12" s="333" t="str">
        <f t="shared" si="0"/>
        <v>〇</v>
      </c>
    </row>
    <row r="13" spans="2:5" ht="18" customHeight="1" thickBot="1">
      <c r="B13" s="14"/>
      <c r="C13" s="15"/>
      <c r="D13" s="14"/>
      <c r="E13" s="14"/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850F7-78D3-465A-962E-6A72ECF4551C}">
  <sheetPr>
    <tabColor rgb="FFFFCCCC"/>
  </sheetPr>
  <dimension ref="B1:E16"/>
  <sheetViews>
    <sheetView showGridLines="0" zoomScaleNormal="100" workbookViewId="0"/>
  </sheetViews>
  <sheetFormatPr defaultColWidth="9" defaultRowHeight="18" customHeight="1"/>
  <cols>
    <col min="1" max="1" width="2.08203125" style="2" customWidth="1"/>
    <col min="2" max="2" width="9" style="2"/>
    <col min="3" max="3" width="10.83203125" style="2" bestFit="1" customWidth="1"/>
    <col min="4" max="4" width="2.58203125" style="2" customWidth="1"/>
    <col min="5" max="5" width="12.25" style="16" customWidth="1"/>
    <col min="6" max="16384" width="9" style="2"/>
  </cols>
  <sheetData>
    <row r="1" spans="2:5" ht="18" customHeight="1">
      <c r="B1" s="334" t="s">
        <v>260</v>
      </c>
    </row>
    <row r="2" spans="2:5" ht="18" customHeight="1" thickBot="1">
      <c r="B2" s="109"/>
    </row>
    <row r="3" spans="2:5" ht="18" customHeight="1">
      <c r="B3" s="17">
        <v>1500</v>
      </c>
      <c r="C3" s="18" t="s">
        <v>12</v>
      </c>
      <c r="D3" s="18"/>
      <c r="E3" s="19" t="s">
        <v>13</v>
      </c>
    </row>
    <row r="4" spans="2:5" ht="18" customHeight="1">
      <c r="B4" s="20">
        <v>1000</v>
      </c>
      <c r="C4" s="21" t="s">
        <v>12</v>
      </c>
      <c r="D4" s="21"/>
      <c r="E4" s="22" t="s">
        <v>14</v>
      </c>
    </row>
    <row r="5" spans="2:5" ht="18" customHeight="1" thickBot="1">
      <c r="B5" s="14"/>
      <c r="C5" s="23" t="s">
        <v>15</v>
      </c>
      <c r="D5" s="23"/>
      <c r="E5" s="24" t="s">
        <v>16</v>
      </c>
    </row>
    <row r="6" spans="2:5" ht="18" customHeight="1" thickBot="1"/>
    <row r="7" spans="2:5" ht="18" customHeight="1">
      <c r="B7" s="25" t="s">
        <v>17</v>
      </c>
      <c r="C7" s="4"/>
      <c r="D7" s="4"/>
      <c r="E7" s="3"/>
    </row>
    <row r="8" spans="2:5" ht="18" customHeight="1">
      <c r="B8" s="8"/>
      <c r="C8" s="26" t="s">
        <v>3</v>
      </c>
      <c r="D8" s="26"/>
      <c r="E8" s="9" t="s">
        <v>18</v>
      </c>
    </row>
    <row r="9" spans="2:5" ht="18" customHeight="1">
      <c r="B9" s="13" t="s">
        <v>19</v>
      </c>
      <c r="C9" s="27">
        <v>1101</v>
      </c>
      <c r="D9" s="27"/>
      <c r="E9" s="333" t="str">
        <f>IF(C9&gt;=$B$3,$E$3,IF(C9&gt;=$B$4,$E$4,$E$5))</f>
        <v>B</v>
      </c>
    </row>
    <row r="10" spans="2:5" ht="18" customHeight="1">
      <c r="B10" s="13" t="s">
        <v>20</v>
      </c>
      <c r="C10" s="27">
        <v>1782</v>
      </c>
      <c r="D10" s="27"/>
      <c r="E10" s="333" t="str">
        <f t="shared" ref="E10:E15" si="0">IF(C10&gt;=$B$3,$E$3,IF(C10&gt;=$B$4,$E$4,$E$5))</f>
        <v>A</v>
      </c>
    </row>
    <row r="11" spans="2:5" ht="18" customHeight="1">
      <c r="B11" s="13" t="s">
        <v>21</v>
      </c>
      <c r="C11" s="27">
        <v>1444</v>
      </c>
      <c r="D11" s="27"/>
      <c r="E11" s="333" t="str">
        <f t="shared" si="0"/>
        <v>B</v>
      </c>
    </row>
    <row r="12" spans="2:5" ht="18" customHeight="1">
      <c r="B12" s="13" t="s">
        <v>22</v>
      </c>
      <c r="C12" s="27">
        <v>1005</v>
      </c>
      <c r="D12" s="27"/>
      <c r="E12" s="333" t="str">
        <f t="shared" si="0"/>
        <v>B</v>
      </c>
    </row>
    <row r="13" spans="2:5" ht="18" customHeight="1">
      <c r="B13" s="13" t="s">
        <v>23</v>
      </c>
      <c r="C13" s="27">
        <v>948</v>
      </c>
      <c r="D13" s="27"/>
      <c r="E13" s="333" t="str">
        <f t="shared" si="0"/>
        <v>C</v>
      </c>
    </row>
    <row r="14" spans="2:5" ht="18" customHeight="1">
      <c r="B14" s="12" t="s">
        <v>24</v>
      </c>
      <c r="C14" s="27">
        <v>1866</v>
      </c>
      <c r="D14" s="27"/>
      <c r="E14" s="333" t="str">
        <f t="shared" si="0"/>
        <v>A</v>
      </c>
    </row>
    <row r="15" spans="2:5" ht="18" customHeight="1">
      <c r="B15" s="13" t="s">
        <v>25</v>
      </c>
      <c r="C15" s="27">
        <v>924</v>
      </c>
      <c r="D15" s="27"/>
      <c r="E15" s="333" t="str">
        <f t="shared" si="0"/>
        <v>C</v>
      </c>
    </row>
    <row r="16" spans="2:5" ht="18" customHeight="1" thickBot="1">
      <c r="B16" s="14"/>
      <c r="C16" s="14"/>
      <c r="D16" s="14"/>
      <c r="E16" s="24"/>
    </row>
  </sheetData>
  <phoneticPr fontId="2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55EF6-0B04-46BD-BED0-DDE0E5DB7C6C}">
  <sheetPr>
    <tabColor rgb="FFFFCCCC"/>
  </sheetPr>
  <dimension ref="B1:E16"/>
  <sheetViews>
    <sheetView showGridLines="0" zoomScaleNormal="100" workbookViewId="0"/>
  </sheetViews>
  <sheetFormatPr defaultColWidth="9" defaultRowHeight="18" customHeight="1"/>
  <cols>
    <col min="1" max="1" width="2.08203125" style="2" customWidth="1"/>
    <col min="2" max="2" width="9" style="2"/>
    <col min="3" max="3" width="10.83203125" style="2" bestFit="1" customWidth="1"/>
    <col min="4" max="4" width="2.58203125" style="2" customWidth="1"/>
    <col min="5" max="5" width="12.25" style="16" customWidth="1"/>
    <col min="6" max="16384" width="9" style="2"/>
  </cols>
  <sheetData>
    <row r="1" spans="2:5" ht="18" customHeight="1">
      <c r="B1" s="334" t="s">
        <v>263</v>
      </c>
    </row>
    <row r="2" spans="2:5" ht="18" customHeight="1" thickBot="1"/>
    <row r="3" spans="2:5" ht="18" customHeight="1">
      <c r="B3" s="17">
        <v>1500</v>
      </c>
      <c r="C3" s="18" t="s">
        <v>12</v>
      </c>
      <c r="D3" s="18"/>
      <c r="E3" s="19" t="s">
        <v>13</v>
      </c>
    </row>
    <row r="4" spans="2:5" ht="18" customHeight="1">
      <c r="B4" s="20">
        <v>1000</v>
      </c>
      <c r="C4" s="21" t="s">
        <v>12</v>
      </c>
      <c r="D4" s="21"/>
      <c r="E4" s="22" t="s">
        <v>14</v>
      </c>
    </row>
    <row r="5" spans="2:5" ht="18" customHeight="1" thickBot="1">
      <c r="B5" s="14"/>
      <c r="C5" s="23" t="s">
        <v>15</v>
      </c>
      <c r="D5" s="23"/>
      <c r="E5" s="24" t="s">
        <v>16</v>
      </c>
    </row>
    <row r="6" spans="2:5" ht="18" customHeight="1" thickBot="1"/>
    <row r="7" spans="2:5" ht="18" customHeight="1">
      <c r="B7" s="25" t="s">
        <v>17</v>
      </c>
      <c r="C7" s="4"/>
      <c r="D7" s="4"/>
      <c r="E7" s="3"/>
    </row>
    <row r="8" spans="2:5" ht="18" customHeight="1">
      <c r="B8" s="8"/>
      <c r="C8" s="26" t="s">
        <v>3</v>
      </c>
      <c r="D8" s="26"/>
      <c r="E8" s="9" t="s">
        <v>18</v>
      </c>
    </row>
    <row r="9" spans="2:5" ht="18" customHeight="1">
      <c r="B9" s="13" t="s">
        <v>19</v>
      </c>
      <c r="C9" s="27">
        <v>1101</v>
      </c>
      <c r="D9" s="27"/>
      <c r="E9" s="333" t="str">
        <f>_xlfn.IFS(C9&gt;B3,E3,C9&gt;B4,E4,TRUE,E5)</f>
        <v>B</v>
      </c>
    </row>
    <row r="10" spans="2:5" ht="18" customHeight="1">
      <c r="B10" s="13" t="s">
        <v>20</v>
      </c>
      <c r="C10" s="27">
        <v>1782</v>
      </c>
      <c r="D10" s="27"/>
      <c r="E10" s="333" t="str" cm="1">
        <f t="array" ref="E10">_xlfn.IFS(C10&gt;=$B$3,$E$3,C10&gt;=$B$4,$E$4,TRUE,$E$5)</f>
        <v>A</v>
      </c>
    </row>
    <row r="11" spans="2:5" ht="18" customHeight="1">
      <c r="B11" s="13" t="s">
        <v>21</v>
      </c>
      <c r="C11" s="27">
        <v>1444</v>
      </c>
      <c r="D11" s="27"/>
      <c r="E11" s="333" t="str" cm="1">
        <f t="array" ref="E11">_xlfn.IFS(C11&gt;=$B$3,$E$3,C11&gt;=$B$4,$E$4,TRUE,$E$5)</f>
        <v>B</v>
      </c>
    </row>
    <row r="12" spans="2:5" ht="18" customHeight="1">
      <c r="B12" s="13" t="s">
        <v>22</v>
      </c>
      <c r="C12" s="27">
        <v>1005</v>
      </c>
      <c r="D12" s="27"/>
      <c r="E12" s="333" t="str" cm="1">
        <f t="array" ref="E12">_xlfn.IFS(C12&gt;=$B$3,$E$3,C12&gt;=$B$4,$E$4,TRUE,$E$5)</f>
        <v>B</v>
      </c>
    </row>
    <row r="13" spans="2:5" ht="18" customHeight="1">
      <c r="B13" s="13" t="s">
        <v>23</v>
      </c>
      <c r="C13" s="27">
        <v>948</v>
      </c>
      <c r="D13" s="27"/>
      <c r="E13" s="333" t="str" cm="1">
        <f t="array" ref="E13">_xlfn.IFS(C13&gt;=$B$3,$E$3,C13&gt;=$B$4,$E$4,TRUE,$E$5)</f>
        <v>C</v>
      </c>
    </row>
    <row r="14" spans="2:5" ht="18" customHeight="1">
      <c r="B14" s="12" t="s">
        <v>24</v>
      </c>
      <c r="C14" s="27">
        <v>1866</v>
      </c>
      <c r="D14" s="27"/>
      <c r="E14" s="333" t="str" cm="1">
        <f t="array" ref="E14">_xlfn.IFS(C14&gt;=$B$3,$E$3,C14&gt;=$B$4,$E$4,TRUE,$E$5)</f>
        <v>A</v>
      </c>
    </row>
    <row r="15" spans="2:5" ht="18" customHeight="1">
      <c r="B15" s="13" t="s">
        <v>25</v>
      </c>
      <c r="C15" s="27">
        <v>924</v>
      </c>
      <c r="D15" s="27"/>
      <c r="E15" s="333" t="str" cm="1">
        <f t="array" ref="E15">_xlfn.IFS(C15&gt;=$B$3,$E$3,C15&gt;=$B$4,$E$4,TRUE,$E$5)</f>
        <v>C</v>
      </c>
    </row>
    <row r="16" spans="2:5" ht="18" customHeight="1" thickBot="1">
      <c r="B16" s="14"/>
      <c r="C16" s="14"/>
      <c r="D16" s="14"/>
      <c r="E16" s="24"/>
    </row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B3955-FB2A-4112-B2C7-A800638E8B29}">
  <sheetPr>
    <tabColor rgb="FFFFCCCC"/>
  </sheetPr>
  <dimension ref="B1:H23"/>
  <sheetViews>
    <sheetView showGridLines="0" zoomScaleNormal="100" workbookViewId="0"/>
  </sheetViews>
  <sheetFormatPr defaultColWidth="9" defaultRowHeight="16" customHeight="1"/>
  <cols>
    <col min="1" max="1" width="1.83203125" style="2" customWidth="1"/>
    <col min="2" max="2" width="9.5" style="2" bestFit="1" customWidth="1"/>
    <col min="3" max="3" width="12.58203125" style="2" customWidth="1"/>
    <col min="4" max="4" width="7.33203125" style="2" customWidth="1"/>
    <col min="5" max="5" width="1.75" style="2" customWidth="1"/>
    <col min="6" max="6" width="25.83203125" style="2" customWidth="1"/>
    <col min="7" max="7" width="1.5" style="2" customWidth="1"/>
    <col min="8" max="8" width="26.83203125" style="2" bestFit="1" customWidth="1"/>
    <col min="9" max="16384" width="9" style="2"/>
  </cols>
  <sheetData>
    <row r="1" spans="2:8" ht="16" customHeight="1">
      <c r="B1" s="334" t="s">
        <v>266</v>
      </c>
    </row>
    <row r="2" spans="2:8" ht="16" customHeight="1" thickBot="1">
      <c r="C2" s="109"/>
    </row>
    <row r="3" spans="2:8" ht="16" customHeight="1">
      <c r="B3" s="110" t="s">
        <v>74</v>
      </c>
      <c r="C3" s="110"/>
      <c r="D3" s="91"/>
      <c r="F3" s="110" t="s">
        <v>264</v>
      </c>
      <c r="H3" s="110" t="s">
        <v>265</v>
      </c>
    </row>
    <row r="4" spans="2:8" ht="16" customHeight="1">
      <c r="C4" s="111" t="s">
        <v>76</v>
      </c>
      <c r="D4" s="92"/>
      <c r="E4" s="109"/>
    </row>
    <row r="5" spans="2:8" ht="18" customHeight="1">
      <c r="B5" s="111" t="s">
        <v>77</v>
      </c>
      <c r="C5" s="111" t="s">
        <v>78</v>
      </c>
      <c r="D5" s="111" t="s">
        <v>79</v>
      </c>
      <c r="E5" s="109"/>
      <c r="F5" s="112" t="s">
        <v>80</v>
      </c>
      <c r="H5" s="112" t="s">
        <v>81</v>
      </c>
    </row>
    <row r="6" spans="2:8" ht="18" customHeight="1">
      <c r="B6" s="113" t="s">
        <v>13</v>
      </c>
      <c r="C6" s="114">
        <v>5</v>
      </c>
      <c r="D6" s="115" t="s">
        <v>82</v>
      </c>
      <c r="E6" s="16"/>
      <c r="F6" s="22" t="str">
        <f>IF(AND(C6&gt;=3,D6="あり"), "合格","不合格")</f>
        <v>不合格</v>
      </c>
      <c r="H6" s="22" t="str">
        <f>IF(OR(C6&gt;=3,D6="あり"), "合格","不合格")</f>
        <v>合格</v>
      </c>
    </row>
    <row r="7" spans="2:8" ht="18" customHeight="1">
      <c r="B7" s="113" t="s">
        <v>14</v>
      </c>
      <c r="C7" s="22">
        <v>0</v>
      </c>
      <c r="D7" s="115" t="s">
        <v>83</v>
      </c>
      <c r="E7" s="16"/>
      <c r="F7" s="22" t="str">
        <f t="shared" ref="F7:F11" si="0">IF(AND(C7&gt;=3,D7="あり"), "合格","不合格")</f>
        <v>不合格</v>
      </c>
      <c r="H7" s="22" t="str">
        <f t="shared" ref="H7:H11" si="1">IF(OR(C7&gt;=3,D7="あり"), "合格","不合格")</f>
        <v>合格</v>
      </c>
    </row>
    <row r="8" spans="2:8" ht="18" customHeight="1">
      <c r="B8" s="113" t="s">
        <v>16</v>
      </c>
      <c r="C8" s="22">
        <v>1</v>
      </c>
      <c r="D8" s="115" t="s">
        <v>82</v>
      </c>
      <c r="E8" s="16"/>
      <c r="F8" s="22" t="str">
        <f t="shared" si="0"/>
        <v>不合格</v>
      </c>
      <c r="H8" s="22" t="str">
        <f t="shared" si="1"/>
        <v>不合格</v>
      </c>
    </row>
    <row r="9" spans="2:8" ht="18" customHeight="1">
      <c r="B9" s="113" t="s">
        <v>84</v>
      </c>
      <c r="C9" s="22">
        <v>8</v>
      </c>
      <c r="D9" s="115" t="s">
        <v>83</v>
      </c>
      <c r="E9" s="16"/>
      <c r="F9" s="22" t="str">
        <f>IF(AND(C9&gt;=3,D9="あり"),"合格","不合格")</f>
        <v>合格</v>
      </c>
      <c r="H9" s="22" t="str">
        <f t="shared" si="1"/>
        <v>合格</v>
      </c>
    </row>
    <row r="10" spans="2:8" ht="18" customHeight="1">
      <c r="B10" s="113" t="s">
        <v>85</v>
      </c>
      <c r="C10" s="22">
        <v>0</v>
      </c>
      <c r="D10" s="115" t="s">
        <v>82</v>
      </c>
      <c r="E10" s="16"/>
      <c r="F10" s="22" t="str">
        <f t="shared" si="0"/>
        <v>不合格</v>
      </c>
      <c r="H10" s="22" t="str">
        <f t="shared" si="1"/>
        <v>不合格</v>
      </c>
    </row>
    <row r="11" spans="2:8" ht="18" customHeight="1" thickBot="1">
      <c r="B11" s="116" t="s">
        <v>86</v>
      </c>
      <c r="C11" s="24">
        <v>2</v>
      </c>
      <c r="D11" s="117" t="s">
        <v>83</v>
      </c>
      <c r="E11" s="16"/>
      <c r="F11" s="24" t="str">
        <f t="shared" si="0"/>
        <v>不合格</v>
      </c>
      <c r="H11" s="24" t="str">
        <f t="shared" si="1"/>
        <v>合格</v>
      </c>
    </row>
    <row r="12" spans="2:8" ht="18" customHeight="1">
      <c r="B12" s="118"/>
      <c r="C12" s="16"/>
      <c r="D12" s="109"/>
    </row>
    <row r="13" spans="2:8" ht="18" customHeight="1">
      <c r="B13" s="118"/>
      <c r="C13" s="16"/>
      <c r="D13" s="109"/>
    </row>
    <row r="14" spans="2:8" ht="18" customHeight="1">
      <c r="B14" s="118"/>
      <c r="C14" s="16"/>
      <c r="D14" s="109"/>
    </row>
    <row r="15" spans="2:8" ht="18" customHeight="1">
      <c r="B15" s="118"/>
      <c r="C15" s="16"/>
      <c r="D15" s="109"/>
    </row>
    <row r="16" spans="2:8" ht="18" customHeight="1">
      <c r="B16" s="118"/>
      <c r="C16" s="16"/>
      <c r="D16" s="109"/>
    </row>
    <row r="17" spans="2:4" ht="16" customHeight="1">
      <c r="B17" s="118"/>
      <c r="C17" s="16"/>
      <c r="D17" s="109"/>
    </row>
    <row r="18" spans="2:4" ht="16" customHeight="1">
      <c r="B18" s="118"/>
      <c r="C18" s="16"/>
      <c r="D18" s="109"/>
    </row>
    <row r="19" spans="2:4" ht="16" customHeight="1">
      <c r="B19" s="118"/>
      <c r="C19" s="16"/>
      <c r="D19" s="109"/>
    </row>
    <row r="20" spans="2:4" ht="16" customHeight="1">
      <c r="B20" s="118"/>
      <c r="C20" s="16"/>
      <c r="D20" s="109"/>
    </row>
    <row r="21" spans="2:4" ht="16" customHeight="1">
      <c r="B21" s="118"/>
      <c r="C21" s="16"/>
      <c r="D21" s="109"/>
    </row>
    <row r="22" spans="2:4" ht="16" customHeight="1">
      <c r="C22" s="16"/>
      <c r="D22" s="109"/>
    </row>
    <row r="23" spans="2:4" ht="16" customHeight="1">
      <c r="C23" s="16"/>
      <c r="D23" s="109"/>
    </row>
  </sheetData>
  <phoneticPr fontId="2"/>
  <pageMargins left="0.7" right="0.7" top="0.75" bottom="0.75" header="0.3" footer="0.3"/>
  <ignoredErrors>
    <ignoredError sqref="F9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475E5-3AF6-4E6E-93A7-024CB6B7A254}">
  <sheetPr>
    <tabColor rgb="FFFFCCCC"/>
  </sheetPr>
  <dimension ref="B1:H25"/>
  <sheetViews>
    <sheetView showGridLines="0" zoomScaleNormal="100" workbookViewId="0"/>
  </sheetViews>
  <sheetFormatPr defaultColWidth="9" defaultRowHeight="16" customHeight="1"/>
  <cols>
    <col min="1" max="1" width="3.58203125" style="2" customWidth="1"/>
    <col min="2" max="2" width="9.5" style="2" bestFit="1" customWidth="1"/>
    <col min="3" max="3" width="12.58203125" style="2" customWidth="1"/>
    <col min="4" max="4" width="5.25" style="2" bestFit="1" customWidth="1"/>
    <col min="5" max="5" width="3.58203125" style="2" customWidth="1"/>
    <col min="6" max="6" width="12.58203125" style="2" customWidth="1"/>
    <col min="7" max="7" width="5.5" style="2" customWidth="1"/>
    <col min="8" max="8" width="26.83203125" style="2" bestFit="1" customWidth="1"/>
    <col min="9" max="16384" width="9" style="2"/>
  </cols>
  <sheetData>
    <row r="1" spans="2:8" ht="16" customHeight="1">
      <c r="B1" s="334" t="s">
        <v>267</v>
      </c>
    </row>
    <row r="2" spans="2:8" ht="16" customHeight="1" thickBot="1">
      <c r="C2" s="109"/>
    </row>
    <row r="3" spans="2:8" ht="16" customHeight="1">
      <c r="B3" s="110" t="s">
        <v>74</v>
      </c>
      <c r="C3" s="110"/>
      <c r="D3" s="91"/>
      <c r="E3" s="91"/>
      <c r="F3" s="91"/>
      <c r="H3" s="110" t="s">
        <v>75</v>
      </c>
    </row>
    <row r="4" spans="2:8" ht="16" customHeight="1">
      <c r="B4" s="109"/>
      <c r="C4" s="109"/>
    </row>
    <row r="5" spans="2:8" ht="16" customHeight="1">
      <c r="C5" s="109"/>
      <c r="H5" s="2" t="s">
        <v>87</v>
      </c>
    </row>
    <row r="6" spans="2:8" ht="16" customHeight="1">
      <c r="C6" s="111" t="s">
        <v>76</v>
      </c>
      <c r="D6" s="92"/>
      <c r="F6" s="111" t="s">
        <v>88</v>
      </c>
      <c r="G6" s="109"/>
      <c r="H6" s="119" t="s">
        <v>89</v>
      </c>
    </row>
    <row r="7" spans="2:8" ht="18" customHeight="1">
      <c r="B7" s="111"/>
      <c r="C7" s="111" t="s">
        <v>78</v>
      </c>
      <c r="D7" s="111" t="s">
        <v>79</v>
      </c>
      <c r="E7" s="111"/>
      <c r="F7" s="111" t="s">
        <v>90</v>
      </c>
      <c r="G7" s="109"/>
      <c r="H7" s="92" t="s">
        <v>91</v>
      </c>
    </row>
    <row r="8" spans="2:8" ht="18" customHeight="1">
      <c r="B8" s="113" t="s">
        <v>13</v>
      </c>
      <c r="C8" s="22">
        <v>5</v>
      </c>
      <c r="D8" s="115" t="s">
        <v>82</v>
      </c>
      <c r="E8" s="115"/>
      <c r="F8" s="22">
        <v>3</v>
      </c>
      <c r="G8" s="16"/>
      <c r="H8" s="22" t="str">
        <f>IF(AND(OR(C8&gt;=3,D8="あり"),F8&gt;=3),"合格","不合格")</f>
        <v>合格</v>
      </c>
    </row>
    <row r="9" spans="2:8" ht="18" customHeight="1">
      <c r="B9" s="113" t="s">
        <v>14</v>
      </c>
      <c r="C9" s="22">
        <v>0</v>
      </c>
      <c r="D9" s="115" t="s">
        <v>83</v>
      </c>
      <c r="E9" s="115"/>
      <c r="F9" s="22">
        <v>0</v>
      </c>
      <c r="G9" s="16"/>
      <c r="H9" s="22" t="str">
        <f t="shared" ref="H9:H13" si="0">IF(AND(OR(C9&gt;=3,D9="あり"),F9&gt;=3),"合格","不合格")</f>
        <v>不合格</v>
      </c>
    </row>
    <row r="10" spans="2:8" ht="18" customHeight="1">
      <c r="B10" s="113" t="s">
        <v>16</v>
      </c>
      <c r="C10" s="22">
        <v>1</v>
      </c>
      <c r="D10" s="115" t="s">
        <v>82</v>
      </c>
      <c r="E10" s="115"/>
      <c r="F10" s="22">
        <v>0</v>
      </c>
      <c r="G10" s="16"/>
      <c r="H10" s="22" t="str">
        <f t="shared" si="0"/>
        <v>不合格</v>
      </c>
    </row>
    <row r="11" spans="2:8" ht="18" customHeight="1">
      <c r="B11" s="113" t="s">
        <v>84</v>
      </c>
      <c r="C11" s="22">
        <v>8</v>
      </c>
      <c r="D11" s="115" t="s">
        <v>83</v>
      </c>
      <c r="E11" s="115"/>
      <c r="F11" s="22">
        <v>6</v>
      </c>
      <c r="G11" s="16"/>
      <c r="H11" s="22" t="str">
        <f t="shared" si="0"/>
        <v>合格</v>
      </c>
    </row>
    <row r="12" spans="2:8" ht="18" customHeight="1">
      <c r="B12" s="113" t="s">
        <v>85</v>
      </c>
      <c r="C12" s="22">
        <v>0</v>
      </c>
      <c r="D12" s="115" t="s">
        <v>82</v>
      </c>
      <c r="E12" s="115"/>
      <c r="F12" s="22">
        <v>5</v>
      </c>
      <c r="G12" s="16"/>
      <c r="H12" s="22" t="str">
        <f t="shared" si="0"/>
        <v>不合格</v>
      </c>
    </row>
    <row r="13" spans="2:8" ht="18" customHeight="1" thickBot="1">
      <c r="B13" s="116" t="s">
        <v>86</v>
      </c>
      <c r="C13" s="24">
        <v>2</v>
      </c>
      <c r="D13" s="117" t="s">
        <v>83</v>
      </c>
      <c r="E13" s="117"/>
      <c r="F13" s="24">
        <v>2</v>
      </c>
      <c r="G13" s="16"/>
      <c r="H13" s="24" t="str">
        <f t="shared" si="0"/>
        <v>不合格</v>
      </c>
    </row>
    <row r="14" spans="2:8" ht="18" customHeight="1">
      <c r="B14" s="118"/>
      <c r="C14" s="16"/>
      <c r="D14" s="109"/>
      <c r="E14" s="109"/>
    </row>
    <row r="15" spans="2:8" ht="18" customHeight="1">
      <c r="B15" s="118"/>
      <c r="C15" s="16"/>
      <c r="D15" s="109"/>
      <c r="E15" s="109"/>
    </row>
    <row r="16" spans="2:8" ht="18" customHeight="1">
      <c r="B16" s="118"/>
      <c r="C16" s="16"/>
      <c r="D16" s="109"/>
      <c r="E16" s="109"/>
    </row>
    <row r="17" spans="2:5" ht="18" customHeight="1">
      <c r="B17" s="118"/>
      <c r="C17" s="16"/>
      <c r="D17" s="109"/>
      <c r="E17" s="109"/>
    </row>
    <row r="18" spans="2:5" ht="18" customHeight="1">
      <c r="B18" s="118"/>
      <c r="C18" s="16"/>
      <c r="D18" s="109"/>
      <c r="E18" s="109"/>
    </row>
    <row r="19" spans="2:5" ht="16" customHeight="1">
      <c r="B19" s="118"/>
      <c r="C19" s="16"/>
      <c r="D19" s="109"/>
      <c r="E19" s="109"/>
    </row>
    <row r="20" spans="2:5" ht="16" customHeight="1">
      <c r="B20" s="118"/>
      <c r="C20" s="16"/>
      <c r="D20" s="109"/>
      <c r="E20" s="109"/>
    </row>
    <row r="21" spans="2:5" ht="16" customHeight="1">
      <c r="B21" s="118"/>
      <c r="C21" s="16"/>
      <c r="D21" s="109"/>
      <c r="E21" s="109"/>
    </row>
    <row r="22" spans="2:5" ht="16" customHeight="1">
      <c r="B22" s="118"/>
      <c r="C22" s="16"/>
      <c r="D22" s="109"/>
      <c r="E22" s="109"/>
    </row>
    <row r="23" spans="2:5" ht="16" customHeight="1">
      <c r="B23" s="118"/>
      <c r="C23" s="16"/>
      <c r="D23" s="109"/>
      <c r="E23" s="109"/>
    </row>
    <row r="24" spans="2:5" ht="16" customHeight="1">
      <c r="C24" s="16"/>
      <c r="D24" s="109"/>
      <c r="E24" s="109"/>
    </row>
    <row r="25" spans="2:5" ht="16" customHeight="1">
      <c r="C25" s="16"/>
      <c r="D25" s="109"/>
      <c r="E25" s="109"/>
    </row>
  </sheetData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DE47A-C055-4AB3-8265-4B6D4E4908DD}">
  <sheetPr>
    <tabColor theme="7" tint="0.79998168889431442"/>
  </sheetPr>
  <dimension ref="B1:F12"/>
  <sheetViews>
    <sheetView showGridLines="0" zoomScaleNormal="100" workbookViewId="0"/>
  </sheetViews>
  <sheetFormatPr defaultColWidth="9" defaultRowHeight="18" customHeight="1"/>
  <cols>
    <col min="1" max="1" width="3.58203125" style="104" customWidth="1"/>
    <col min="2" max="2" width="11" style="104" bestFit="1" customWidth="1"/>
    <col min="3" max="3" width="9" style="104"/>
    <col min="4" max="4" width="6.58203125" style="104" customWidth="1"/>
    <col min="5" max="5" width="15.08203125" style="104" bestFit="1" customWidth="1"/>
    <col min="6" max="6" width="27.08203125" style="170" customWidth="1"/>
    <col min="7" max="16384" width="9" style="104"/>
  </cols>
  <sheetData>
    <row r="1" spans="2:6" ht="18" customHeight="1">
      <c r="B1" s="351" t="s">
        <v>297</v>
      </c>
    </row>
    <row r="2" spans="2:6" ht="18" customHeight="1" thickBot="1"/>
    <row r="3" spans="2:6" ht="18" customHeight="1">
      <c r="B3" s="3" t="s">
        <v>132</v>
      </c>
      <c r="C3" s="4"/>
      <c r="E3" s="3" t="s">
        <v>133</v>
      </c>
      <c r="F3" s="3"/>
    </row>
    <row r="4" spans="2:6" ht="18" customHeight="1">
      <c r="B4" s="171"/>
      <c r="C4" s="6"/>
      <c r="E4" s="171"/>
      <c r="F4" s="171"/>
    </row>
    <row r="5" spans="2:6" ht="18" customHeight="1">
      <c r="B5" s="172" t="s">
        <v>134</v>
      </c>
      <c r="C5" s="173" t="s">
        <v>135</v>
      </c>
      <c r="E5" s="13" t="s">
        <v>136</v>
      </c>
      <c r="F5" s="174">
        <f>COUNTA(C6:C11)</f>
        <v>6</v>
      </c>
    </row>
    <row r="6" spans="2:6" ht="18" customHeight="1" thickBot="1">
      <c r="B6" s="10" t="s">
        <v>137</v>
      </c>
      <c r="C6" s="175">
        <v>100</v>
      </c>
      <c r="E6" s="176" t="s">
        <v>138</v>
      </c>
      <c r="F6" s="177">
        <f>COUNT(C6:C11)</f>
        <v>5</v>
      </c>
    </row>
    <row r="7" spans="2:6" ht="18" customHeight="1">
      <c r="B7" s="10" t="s">
        <v>139</v>
      </c>
      <c r="C7" s="175">
        <v>45</v>
      </c>
    </row>
    <row r="8" spans="2:6" ht="18" customHeight="1">
      <c r="B8" s="10" t="s">
        <v>140</v>
      </c>
      <c r="C8" s="175">
        <v>40</v>
      </c>
    </row>
    <row r="9" spans="2:6" ht="18" customHeight="1">
      <c r="B9" s="178" t="s">
        <v>141</v>
      </c>
      <c r="C9" s="175">
        <v>35</v>
      </c>
    </row>
    <row r="10" spans="2:6" ht="18" customHeight="1">
      <c r="B10" s="179" t="s">
        <v>142</v>
      </c>
      <c r="C10" s="180">
        <v>35</v>
      </c>
    </row>
    <row r="11" spans="2:6" ht="18" customHeight="1" thickBot="1">
      <c r="B11" s="176" t="s">
        <v>143</v>
      </c>
      <c r="C11" s="181" t="s">
        <v>144</v>
      </c>
    </row>
    <row r="12" spans="2:6" ht="18" customHeight="1">
      <c r="B12" s="108"/>
    </row>
  </sheetData>
  <phoneticPr fontId="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361B3-5252-4475-9BF4-0D527208CA99}">
  <sheetPr>
    <tabColor theme="7" tint="0.79998168889431442"/>
  </sheetPr>
  <dimension ref="B1:F11"/>
  <sheetViews>
    <sheetView showGridLines="0" zoomScaleNormal="100" workbookViewId="0"/>
  </sheetViews>
  <sheetFormatPr defaultColWidth="9" defaultRowHeight="18" customHeight="1"/>
  <cols>
    <col min="1" max="1" width="3.58203125" style="104" customWidth="1"/>
    <col min="2" max="2" width="11" style="104" bestFit="1" customWidth="1"/>
    <col min="3" max="3" width="9" style="104"/>
    <col min="4" max="4" width="6.58203125" style="104" customWidth="1"/>
    <col min="5" max="5" width="15.08203125" style="104" bestFit="1" customWidth="1"/>
    <col min="6" max="6" width="27.08203125" style="170" customWidth="1"/>
    <col min="7" max="16384" width="9" style="104"/>
  </cols>
  <sheetData>
    <row r="1" spans="2:6" ht="18" customHeight="1">
      <c r="B1" s="351" t="s">
        <v>298</v>
      </c>
    </row>
    <row r="2" spans="2:6" ht="18" customHeight="1" thickBot="1"/>
    <row r="3" spans="2:6" ht="18" customHeight="1">
      <c r="B3" s="3" t="s">
        <v>132</v>
      </c>
      <c r="C3" s="4"/>
      <c r="E3" s="3" t="s">
        <v>133</v>
      </c>
      <c r="F3" s="3"/>
    </row>
    <row r="4" spans="2:6" ht="18" customHeight="1">
      <c r="B4" s="171"/>
      <c r="C4" s="6"/>
      <c r="E4" s="171"/>
      <c r="F4" s="171"/>
    </row>
    <row r="5" spans="2:6" ht="18" customHeight="1">
      <c r="B5" s="172" t="s">
        <v>134</v>
      </c>
      <c r="C5" s="173" t="s">
        <v>135</v>
      </c>
      <c r="E5" s="13" t="s">
        <v>145</v>
      </c>
      <c r="F5" s="174">
        <f>COUNTBLANK(C6:C11)</f>
        <v>1</v>
      </c>
    </row>
    <row r="6" spans="2:6" ht="18" customHeight="1" thickBot="1">
      <c r="B6" s="10" t="s">
        <v>137</v>
      </c>
      <c r="C6" s="175">
        <v>100</v>
      </c>
      <c r="E6" s="176"/>
      <c r="F6" s="177"/>
    </row>
    <row r="7" spans="2:6" ht="18" customHeight="1">
      <c r="B7" s="10" t="s">
        <v>139</v>
      </c>
      <c r="C7" s="175">
        <v>45</v>
      </c>
    </row>
    <row r="8" spans="2:6" ht="18" customHeight="1">
      <c r="B8" s="10" t="s">
        <v>140</v>
      </c>
      <c r="C8" s="175">
        <v>40</v>
      </c>
    </row>
    <row r="9" spans="2:6" ht="18" customHeight="1">
      <c r="B9" s="178" t="s">
        <v>141</v>
      </c>
      <c r="C9" s="175"/>
    </row>
    <row r="10" spans="2:6" ht="18" customHeight="1">
      <c r="B10" s="179" t="s">
        <v>142</v>
      </c>
      <c r="C10" s="180">
        <v>35</v>
      </c>
    </row>
    <row r="11" spans="2:6" ht="18" customHeight="1" thickBot="1">
      <c r="B11" s="176" t="s">
        <v>143</v>
      </c>
      <c r="C11" s="181" t="s">
        <v>144</v>
      </c>
    </row>
  </sheetData>
  <phoneticPr fontId="2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D8FF5-C210-4146-8C6B-711945E65EE4}">
  <sheetPr>
    <tabColor theme="7" tint="0.79998168889431442"/>
  </sheetPr>
  <dimension ref="B1:G15"/>
  <sheetViews>
    <sheetView showGridLines="0" zoomScaleNormal="100" workbookViewId="0"/>
  </sheetViews>
  <sheetFormatPr defaultColWidth="12.75" defaultRowHeight="18" customHeight="1"/>
  <cols>
    <col min="1" max="1" width="3.75" style="39" customWidth="1"/>
    <col min="2" max="2" width="12.75" style="72"/>
    <col min="3" max="3" width="10.08203125" style="39" bestFit="1" customWidth="1"/>
    <col min="4" max="4" width="8.58203125" style="39" customWidth="1"/>
    <col min="5" max="5" width="9.58203125" style="39" customWidth="1"/>
    <col min="6" max="16384" width="12.75" style="39"/>
  </cols>
  <sheetData>
    <row r="1" spans="2:7" ht="18" customHeight="1">
      <c r="B1" s="339" t="s">
        <v>293</v>
      </c>
    </row>
    <row r="2" spans="2:7" ht="10.4" customHeight="1" thickBot="1"/>
    <row r="3" spans="2:7" ht="18" customHeight="1">
      <c r="B3" s="75" t="s">
        <v>55</v>
      </c>
      <c r="C3" s="74"/>
      <c r="D3" s="76"/>
      <c r="E3" s="76"/>
    </row>
    <row r="4" spans="2:7" ht="18" customHeight="1" thickBot="1">
      <c r="B4" s="80"/>
      <c r="C4" s="81" t="s">
        <v>259</v>
      </c>
      <c r="D4" s="81" t="s">
        <v>46</v>
      </c>
      <c r="E4" s="81" t="s">
        <v>70</v>
      </c>
    </row>
    <row r="5" spans="2:7" ht="18" customHeight="1" thickBot="1">
      <c r="B5" s="84" t="s">
        <v>71</v>
      </c>
      <c r="C5" s="85">
        <f>COUNTIF(C10:C14,B5)</f>
        <v>2</v>
      </c>
      <c r="D5" s="101">
        <f>SUMIF(C10:C14,B5,D10:D14)</f>
        <v>81000</v>
      </c>
      <c r="E5" s="340">
        <f>D5/C5</f>
        <v>40500</v>
      </c>
      <c r="G5" s="102"/>
    </row>
    <row r="6" spans="2:7" ht="18" customHeight="1" thickBot="1">
      <c r="B6" s="86" t="s">
        <v>72</v>
      </c>
      <c r="C6" s="87">
        <f>COUNTIF(C10:C14,B6)</f>
        <v>3</v>
      </c>
      <c r="D6" s="103">
        <f>SUMIF(C10:C14,B6,D10:D14)</f>
        <v>93000</v>
      </c>
      <c r="E6" s="341">
        <f>D6/C6</f>
        <v>31000</v>
      </c>
    </row>
    <row r="7" spans="2:7" ht="18" customHeight="1" thickBot="1"/>
    <row r="8" spans="2:7" ht="18" customHeight="1">
      <c r="B8" s="73" t="s">
        <v>54</v>
      </c>
      <c r="C8" s="74"/>
      <c r="D8" s="74"/>
    </row>
    <row r="9" spans="2:7" ht="18" customHeight="1">
      <c r="B9" s="77" t="s">
        <v>56</v>
      </c>
      <c r="C9" s="78" t="s">
        <v>44</v>
      </c>
      <c r="D9" s="79" t="s">
        <v>46</v>
      </c>
      <c r="F9" s="81"/>
    </row>
    <row r="10" spans="2:7" ht="18" customHeight="1">
      <c r="B10" s="82">
        <v>42840</v>
      </c>
      <c r="C10" s="62" t="s">
        <v>72</v>
      </c>
      <c r="D10" s="83">
        <v>35000</v>
      </c>
    </row>
    <row r="11" spans="2:7" ht="18" customHeight="1">
      <c r="B11" s="82">
        <v>42873</v>
      </c>
      <c r="C11" s="62" t="s">
        <v>71</v>
      </c>
      <c r="D11" s="83">
        <v>42000</v>
      </c>
    </row>
    <row r="12" spans="2:7" ht="18" customHeight="1">
      <c r="B12" s="82">
        <v>42911</v>
      </c>
      <c r="C12" s="62" t="s">
        <v>72</v>
      </c>
      <c r="D12" s="83">
        <v>32000</v>
      </c>
    </row>
    <row r="13" spans="2:7" ht="18" customHeight="1">
      <c r="B13" s="82">
        <v>42916</v>
      </c>
      <c r="C13" s="62" t="s">
        <v>72</v>
      </c>
      <c r="D13" s="83">
        <v>26000</v>
      </c>
    </row>
    <row r="14" spans="2:7" ht="18" customHeight="1" thickBot="1">
      <c r="B14" s="88">
        <v>42966</v>
      </c>
      <c r="C14" s="67" t="s">
        <v>71</v>
      </c>
      <c r="D14" s="89">
        <v>39000</v>
      </c>
    </row>
    <row r="15" spans="2:7" ht="18" customHeight="1">
      <c r="D15" s="90"/>
    </row>
  </sheetData>
  <phoneticPr fontId="2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A82A7-2812-47B2-8BA6-75501D234D49}">
  <sheetPr>
    <tabColor theme="7" tint="0.79998168889431442"/>
  </sheetPr>
  <dimension ref="B1:I19"/>
  <sheetViews>
    <sheetView showGridLines="0" zoomScaleNormal="100" workbookViewId="0"/>
  </sheetViews>
  <sheetFormatPr defaultColWidth="12.75" defaultRowHeight="18" customHeight="1"/>
  <cols>
    <col min="1" max="1" width="3.75" style="39" customWidth="1"/>
    <col min="2" max="2" width="10.5" style="38" bestFit="1" customWidth="1"/>
    <col min="3" max="3" width="7.08203125" style="38" bestFit="1" customWidth="1"/>
    <col min="4" max="4" width="1.83203125" style="38" customWidth="1"/>
    <col min="5" max="6" width="12.75" style="39"/>
    <col min="7" max="7" width="3.58203125" style="39" customWidth="1"/>
    <col min="8" max="16384" width="12.75" style="39"/>
  </cols>
  <sheetData>
    <row r="1" spans="2:9" ht="22.5" customHeight="1">
      <c r="B1" s="342" t="s">
        <v>294</v>
      </c>
    </row>
    <row r="2" spans="2:9" ht="22.5" customHeight="1" thickBot="1">
      <c r="B2" s="331"/>
    </row>
    <row r="3" spans="2:9" ht="18" customHeight="1">
      <c r="B3" s="40" t="s">
        <v>42</v>
      </c>
      <c r="C3" s="41"/>
      <c r="D3" s="41"/>
      <c r="E3" s="42"/>
      <c r="F3" s="42"/>
      <c r="G3" s="42"/>
    </row>
    <row r="4" spans="2:9" ht="18" customHeight="1" thickBot="1">
      <c r="B4" s="43" t="s">
        <v>43</v>
      </c>
      <c r="C4" s="44" t="s">
        <v>44</v>
      </c>
      <c r="D4" s="44"/>
      <c r="E4" s="45" t="s">
        <v>45</v>
      </c>
      <c r="F4" s="45" t="s">
        <v>46</v>
      </c>
      <c r="G4" s="46"/>
    </row>
    <row r="5" spans="2:9" ht="18" customHeight="1" thickBot="1">
      <c r="B5" s="47" t="s">
        <v>47</v>
      </c>
      <c r="C5" s="48" t="s">
        <v>48</v>
      </c>
      <c r="D5" s="49"/>
      <c r="E5" s="50">
        <f>COUNTIFS(B11:B19,B5,C11:C19,C5)</f>
        <v>2</v>
      </c>
      <c r="F5" s="51">
        <f>SUMIFS(F11:F19,B11:B19,B5,C11:C19,C5)</f>
        <v>60000</v>
      </c>
      <c r="G5" s="52"/>
    </row>
    <row r="6" spans="2:9" ht="9.65" customHeight="1" thickBot="1">
      <c r="B6" s="53"/>
      <c r="C6" s="53"/>
      <c r="D6" s="54"/>
      <c r="E6" s="55"/>
      <c r="F6" s="55"/>
      <c r="G6" s="56"/>
    </row>
    <row r="7" spans="2:9" ht="9.65" customHeight="1">
      <c r="E7" s="57"/>
      <c r="F7" s="57"/>
    </row>
    <row r="8" spans="2:9" ht="9.65" customHeight="1" thickBot="1">
      <c r="E8" s="57"/>
      <c r="F8" s="57"/>
    </row>
    <row r="9" spans="2:9" ht="16" customHeight="1">
      <c r="B9" s="40" t="s">
        <v>49</v>
      </c>
      <c r="C9" s="41"/>
      <c r="D9" s="41"/>
      <c r="E9" s="58"/>
      <c r="F9" s="58"/>
      <c r="G9" s="42"/>
    </row>
    <row r="10" spans="2:9" ht="16" customHeight="1">
      <c r="B10" s="59" t="s">
        <v>43</v>
      </c>
      <c r="C10" s="44" t="s">
        <v>44</v>
      </c>
      <c r="D10" s="44"/>
      <c r="E10" s="60"/>
      <c r="F10" s="60" t="s">
        <v>46</v>
      </c>
      <c r="G10" s="61"/>
    </row>
    <row r="11" spans="2:9" ht="16" customHeight="1">
      <c r="B11" s="62" t="s">
        <v>41</v>
      </c>
      <c r="C11" s="63" t="s">
        <v>50</v>
      </c>
      <c r="D11" s="64"/>
      <c r="E11" s="65"/>
      <c r="F11" s="65">
        <v>150000</v>
      </c>
      <c r="G11" s="66"/>
    </row>
    <row r="12" spans="2:9" ht="16" customHeight="1">
      <c r="B12" s="62" t="s">
        <v>34</v>
      </c>
      <c r="C12" s="63" t="s">
        <v>48</v>
      </c>
      <c r="D12" s="64"/>
      <c r="E12" s="65"/>
      <c r="F12" s="65">
        <v>38000</v>
      </c>
      <c r="G12" s="66"/>
    </row>
    <row r="13" spans="2:9" ht="16" customHeight="1">
      <c r="B13" s="62" t="s">
        <v>41</v>
      </c>
      <c r="C13" s="64" t="s">
        <v>51</v>
      </c>
      <c r="D13" s="64"/>
      <c r="E13" s="65"/>
      <c r="F13" s="65">
        <v>150000</v>
      </c>
      <c r="G13" s="66"/>
    </row>
    <row r="14" spans="2:9" ht="16" customHeight="1">
      <c r="B14" s="62" t="s">
        <v>52</v>
      </c>
      <c r="C14" s="64" t="s">
        <v>53</v>
      </c>
      <c r="D14" s="64"/>
      <c r="E14" s="65"/>
      <c r="F14" s="65">
        <v>30000</v>
      </c>
      <c r="G14" s="66"/>
      <c r="I14" s="1"/>
    </row>
    <row r="15" spans="2:9" ht="16" customHeight="1">
      <c r="B15" s="62" t="s">
        <v>34</v>
      </c>
      <c r="C15" s="64" t="s">
        <v>51</v>
      </c>
      <c r="D15" s="64"/>
      <c r="E15" s="65"/>
      <c r="F15" s="65">
        <v>30000</v>
      </c>
      <c r="G15" s="66"/>
      <c r="I15" s="1"/>
    </row>
    <row r="16" spans="2:9" ht="16" customHeight="1">
      <c r="B16" s="62" t="s">
        <v>41</v>
      </c>
      <c r="C16" s="64" t="s">
        <v>53</v>
      </c>
      <c r="D16" s="64"/>
      <c r="E16" s="65"/>
      <c r="F16" s="65">
        <v>150000</v>
      </c>
      <c r="G16" s="66"/>
      <c r="I16" s="1"/>
    </row>
    <row r="17" spans="2:9" ht="16" customHeight="1">
      <c r="B17" s="62" t="s">
        <v>34</v>
      </c>
      <c r="C17" s="64" t="s">
        <v>51</v>
      </c>
      <c r="D17" s="64"/>
      <c r="E17" s="65"/>
      <c r="F17" s="65">
        <v>38000</v>
      </c>
      <c r="G17" s="66"/>
      <c r="I17" s="1"/>
    </row>
    <row r="18" spans="2:9" ht="16" customHeight="1">
      <c r="B18" s="62" t="s">
        <v>41</v>
      </c>
      <c r="C18" s="63" t="s">
        <v>50</v>
      </c>
      <c r="D18" s="64"/>
      <c r="E18" s="65"/>
      <c r="F18" s="65">
        <v>150000</v>
      </c>
      <c r="G18" s="66"/>
      <c r="I18" s="1"/>
    </row>
    <row r="19" spans="2:9" ht="16" customHeight="1" thickBot="1">
      <c r="B19" s="67" t="s">
        <v>52</v>
      </c>
      <c r="C19" s="68" t="s">
        <v>48</v>
      </c>
      <c r="D19" s="69"/>
      <c r="E19" s="70"/>
      <c r="F19" s="70">
        <v>30000</v>
      </c>
      <c r="G19" s="71"/>
      <c r="I19" s="1"/>
    </row>
  </sheetData>
  <phoneticPr fontId="2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C8063-35C0-4505-B21E-ED4E153CF9F7}">
  <sheetPr>
    <tabColor theme="7" tint="0.79998168889431442"/>
  </sheetPr>
  <dimension ref="B1:G9"/>
  <sheetViews>
    <sheetView showGridLines="0" zoomScaleNormal="100" workbookViewId="0"/>
  </sheetViews>
  <sheetFormatPr defaultColWidth="12.75" defaultRowHeight="18" customHeight="1"/>
  <cols>
    <col min="1" max="1" width="3.58203125" style="28" customWidth="1"/>
    <col min="2" max="2" width="12.75" style="28"/>
    <col min="3" max="3" width="7" style="28" bestFit="1" customWidth="1"/>
    <col min="4" max="5" width="11.08203125" style="28" customWidth="1"/>
    <col min="6" max="6" width="13.5" style="28" customWidth="1"/>
    <col min="7" max="7" width="19.5" style="32" customWidth="1"/>
    <col min="8" max="16384" width="12.75" style="28"/>
  </cols>
  <sheetData>
    <row r="1" spans="2:7" ht="18" customHeight="1">
      <c r="B1" s="335" t="s">
        <v>341</v>
      </c>
    </row>
    <row r="2" spans="2:7" ht="18" customHeight="1" thickBot="1"/>
    <row r="3" spans="2:7" ht="18" customHeight="1">
      <c r="B3" s="216" t="s">
        <v>183</v>
      </c>
      <c r="C3" s="217"/>
      <c r="D3" s="217"/>
      <c r="E3" s="217"/>
      <c r="F3" s="217"/>
      <c r="G3" s="217"/>
    </row>
    <row r="4" spans="2:7" ht="18" customHeight="1">
      <c r="B4" s="218"/>
      <c r="C4" s="219"/>
      <c r="D4" s="219"/>
      <c r="E4" s="219"/>
      <c r="F4" s="219"/>
      <c r="G4" s="219"/>
    </row>
    <row r="5" spans="2:7" ht="18" customHeight="1">
      <c r="B5" s="220" t="s">
        <v>184</v>
      </c>
      <c r="C5" s="221" t="s">
        <v>185</v>
      </c>
      <c r="D5" s="221" t="s">
        <v>186</v>
      </c>
      <c r="E5" s="221" t="s">
        <v>187</v>
      </c>
      <c r="F5" s="221" t="s">
        <v>188</v>
      </c>
      <c r="G5" s="221" t="s">
        <v>189</v>
      </c>
    </row>
    <row r="6" spans="2:7" ht="18" customHeight="1">
      <c r="B6" s="222" t="s">
        <v>190</v>
      </c>
      <c r="C6" s="223">
        <v>5000</v>
      </c>
      <c r="D6" s="223">
        <v>300</v>
      </c>
      <c r="E6" s="224">
        <v>0.8</v>
      </c>
      <c r="F6" s="224">
        <v>1.1000000000000001</v>
      </c>
      <c r="G6" s="225">
        <f>PRODUCT(C6:F6)</f>
        <v>1320000</v>
      </c>
    </row>
    <row r="7" spans="2:7" ht="18" customHeight="1">
      <c r="B7" s="222" t="s">
        <v>191</v>
      </c>
      <c r="C7" s="223">
        <v>3800</v>
      </c>
      <c r="D7" s="223">
        <v>200</v>
      </c>
      <c r="E7" s="224">
        <v>0.75</v>
      </c>
      <c r="F7" s="224">
        <v>1.1000000000000001</v>
      </c>
      <c r="G7" s="225">
        <f t="shared" ref="G7:G8" si="0">PRODUCT(C7:F7)</f>
        <v>627000</v>
      </c>
    </row>
    <row r="8" spans="2:7" ht="18" customHeight="1">
      <c r="B8" s="222" t="s">
        <v>192</v>
      </c>
      <c r="C8" s="223">
        <v>10000</v>
      </c>
      <c r="D8" s="223">
        <v>100</v>
      </c>
      <c r="E8" s="224">
        <v>0.65</v>
      </c>
      <c r="F8" s="224">
        <v>1.1000000000000001</v>
      </c>
      <c r="G8" s="225">
        <f t="shared" si="0"/>
        <v>715000</v>
      </c>
    </row>
    <row r="9" spans="2:7" ht="18" customHeight="1" thickBot="1">
      <c r="B9" s="226" t="s">
        <v>104</v>
      </c>
      <c r="C9" s="227"/>
      <c r="D9" s="227"/>
      <c r="E9" s="227"/>
      <c r="F9" s="227"/>
      <c r="G9" s="228">
        <f>SUM(G6:G8)</f>
        <v>2662000</v>
      </c>
    </row>
  </sheetData>
  <phoneticPr fontId="2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BDC76-4793-44C2-B14E-111794398D3D}">
  <sheetPr>
    <tabColor theme="7" tint="0.79998168889431442"/>
  </sheetPr>
  <dimension ref="B1:P19"/>
  <sheetViews>
    <sheetView showGridLines="0" zoomScaleNormal="100" workbookViewId="0"/>
  </sheetViews>
  <sheetFormatPr defaultColWidth="9" defaultRowHeight="16" customHeight="1"/>
  <cols>
    <col min="1" max="1" width="3.58203125" style="104" customWidth="1"/>
    <col min="2" max="3" width="9" style="104"/>
    <col min="4" max="4" width="9" style="104" customWidth="1"/>
    <col min="5" max="5" width="6.58203125" style="104" customWidth="1"/>
    <col min="6" max="6" width="9" style="104"/>
    <col min="7" max="7" width="17.5" style="104" customWidth="1"/>
    <col min="8" max="16384" width="9" style="104"/>
  </cols>
  <sheetData>
    <row r="1" spans="2:16" ht="22.5" customHeight="1">
      <c r="B1" s="351" t="s">
        <v>276</v>
      </c>
    </row>
    <row r="2" spans="2:16" ht="18" customHeight="1" thickBot="1"/>
    <row r="3" spans="2:16" ht="18" customHeight="1">
      <c r="B3" s="3" t="s">
        <v>132</v>
      </c>
      <c r="C3" s="4"/>
      <c r="E3" s="3" t="s">
        <v>133</v>
      </c>
      <c r="F3" s="4"/>
      <c r="O3" s="4"/>
    </row>
    <row r="4" spans="2:16" ht="18" customHeight="1">
      <c r="B4" s="8"/>
      <c r="C4" s="173" t="s">
        <v>135</v>
      </c>
      <c r="E4" s="8"/>
      <c r="F4" s="173"/>
      <c r="O4" s="173" t="s">
        <v>193</v>
      </c>
    </row>
    <row r="5" spans="2:16" ht="18" customHeight="1">
      <c r="B5" s="10" t="s">
        <v>137</v>
      </c>
      <c r="C5" s="175">
        <v>100</v>
      </c>
      <c r="E5" s="10" t="s">
        <v>194</v>
      </c>
      <c r="F5" s="192">
        <f>AVERAGE(C5:C11)</f>
        <v>47.142857142857146</v>
      </c>
      <c r="O5" s="229">
        <f t="shared" ref="O5:O11" si="0">+$F$5</f>
        <v>47.142857142857146</v>
      </c>
      <c r="P5" s="230" t="s">
        <v>195</v>
      </c>
    </row>
    <row r="6" spans="2:16" ht="18" customHeight="1" thickBot="1">
      <c r="B6" s="10" t="s">
        <v>139</v>
      </c>
      <c r="C6" s="175">
        <v>45</v>
      </c>
      <c r="E6" s="185" t="s">
        <v>196</v>
      </c>
      <c r="F6" s="213">
        <f>MEDIAN(C5:C11)</f>
        <v>40</v>
      </c>
      <c r="O6" s="229">
        <f t="shared" si="0"/>
        <v>47.142857142857146</v>
      </c>
    </row>
    <row r="7" spans="2:16" ht="18" customHeight="1">
      <c r="B7" s="10" t="s">
        <v>140</v>
      </c>
      <c r="C7" s="175">
        <v>45</v>
      </c>
      <c r="O7" s="229">
        <f t="shared" si="0"/>
        <v>47.142857142857146</v>
      </c>
    </row>
    <row r="8" spans="2:16" ht="18" customHeight="1">
      <c r="B8" s="230" t="s">
        <v>197</v>
      </c>
      <c r="C8" s="104">
        <v>40</v>
      </c>
      <c r="O8" s="39">
        <f t="shared" si="0"/>
        <v>47.142857142857146</v>
      </c>
    </row>
    <row r="9" spans="2:16" ht="18" customHeight="1">
      <c r="B9" s="178" t="s">
        <v>141</v>
      </c>
      <c r="C9" s="175">
        <v>35</v>
      </c>
      <c r="O9" s="229">
        <f t="shared" si="0"/>
        <v>47.142857142857146</v>
      </c>
    </row>
    <row r="10" spans="2:16" ht="18" customHeight="1">
      <c r="B10" s="179" t="s">
        <v>142</v>
      </c>
      <c r="C10" s="180">
        <v>35</v>
      </c>
      <c r="O10" s="231">
        <f t="shared" si="0"/>
        <v>47.142857142857146</v>
      </c>
    </row>
    <row r="11" spans="2:16" ht="18" customHeight="1" thickBot="1">
      <c r="B11" s="176" t="s">
        <v>143</v>
      </c>
      <c r="C11" s="232">
        <v>30</v>
      </c>
      <c r="O11" s="233">
        <f t="shared" si="0"/>
        <v>47.142857142857146</v>
      </c>
    </row>
    <row r="12" spans="2:16" ht="18" customHeight="1"/>
    <row r="13" spans="2:16" ht="18" customHeight="1"/>
    <row r="14" spans="2:16" ht="18" customHeight="1"/>
    <row r="15" spans="2:16" ht="18" customHeight="1"/>
    <row r="16" spans="2:16" ht="18" customHeight="1"/>
    <row r="17" ht="18" customHeight="1"/>
    <row r="18" ht="18" customHeight="1"/>
    <row r="19" ht="18" customHeight="1"/>
  </sheetData>
  <phoneticPr fontId="2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F64AA-D777-42A8-96D9-00C4BF188DBB}">
  <sheetPr>
    <tabColor theme="7" tint="0.79998168889431442"/>
  </sheetPr>
  <dimension ref="B1:G12"/>
  <sheetViews>
    <sheetView showGridLines="0" zoomScaleNormal="100" workbookViewId="0"/>
  </sheetViews>
  <sheetFormatPr defaultColWidth="9" defaultRowHeight="16" customHeight="1"/>
  <cols>
    <col min="1" max="1" width="3.58203125" style="104" customWidth="1"/>
    <col min="2" max="4" width="9" style="104"/>
    <col min="5" max="5" width="9" style="104" customWidth="1"/>
    <col min="6" max="6" width="6.58203125" style="104" customWidth="1"/>
    <col min="7" max="7" width="9" style="104"/>
    <col min="8" max="8" width="17.5" style="104" customWidth="1"/>
    <col min="9" max="16384" width="9" style="104"/>
  </cols>
  <sheetData>
    <row r="1" spans="2:7" ht="19.5" customHeight="1">
      <c r="B1" s="351" t="s">
        <v>277</v>
      </c>
    </row>
    <row r="2" spans="2:7" ht="18" customHeight="1" thickBot="1"/>
    <row r="3" spans="2:7" ht="18" customHeight="1">
      <c r="B3" s="3" t="s">
        <v>132</v>
      </c>
      <c r="C3" s="3"/>
      <c r="D3" s="4"/>
      <c r="F3" s="25" t="s">
        <v>201</v>
      </c>
      <c r="G3" s="4"/>
    </row>
    <row r="4" spans="2:7" ht="18" customHeight="1">
      <c r="B4" s="8"/>
      <c r="C4" s="8"/>
      <c r="D4" s="173" t="s">
        <v>135</v>
      </c>
      <c r="F4" s="8"/>
      <c r="G4" s="237" t="s">
        <v>50</v>
      </c>
    </row>
    <row r="5" spans="2:7" ht="18" customHeight="1" thickBot="1">
      <c r="B5" s="10" t="s">
        <v>137</v>
      </c>
      <c r="C5" s="238" t="s">
        <v>50</v>
      </c>
      <c r="D5" s="175">
        <v>100</v>
      </c>
      <c r="F5" s="185" t="s">
        <v>194</v>
      </c>
      <c r="G5" s="213">
        <f>AVERAGEIF(C5:C11,G4,D5:D11)</f>
        <v>50</v>
      </c>
    </row>
    <row r="6" spans="2:7" ht="18" customHeight="1">
      <c r="B6" s="10" t="s">
        <v>139</v>
      </c>
      <c r="C6" s="238" t="s">
        <v>48</v>
      </c>
      <c r="D6" s="175">
        <v>45</v>
      </c>
    </row>
    <row r="7" spans="2:7" ht="18" customHeight="1">
      <c r="B7" s="10" t="s">
        <v>140</v>
      </c>
      <c r="C7" s="10" t="s">
        <v>51</v>
      </c>
      <c r="D7" s="175">
        <v>45</v>
      </c>
    </row>
    <row r="8" spans="2:7" ht="18" customHeight="1">
      <c r="B8" s="230" t="s">
        <v>197</v>
      </c>
      <c r="C8" s="10" t="s">
        <v>51</v>
      </c>
      <c r="D8" s="104">
        <v>40</v>
      </c>
    </row>
    <row r="9" spans="2:7" ht="18" customHeight="1">
      <c r="B9" s="178" t="s">
        <v>141</v>
      </c>
      <c r="C9" s="178" t="s">
        <v>51</v>
      </c>
      <c r="D9" s="175">
        <v>35</v>
      </c>
    </row>
    <row r="10" spans="2:7" ht="18" customHeight="1">
      <c r="B10" s="179" t="s">
        <v>142</v>
      </c>
      <c r="C10" s="179" t="s">
        <v>53</v>
      </c>
      <c r="D10" s="180">
        <v>35</v>
      </c>
    </row>
    <row r="11" spans="2:7" ht="18" customHeight="1" thickBot="1">
      <c r="B11" s="176" t="s">
        <v>143</v>
      </c>
      <c r="C11" s="176" t="s">
        <v>51</v>
      </c>
      <c r="D11" s="232">
        <v>30</v>
      </c>
    </row>
    <row r="12" spans="2:7" ht="18" customHeight="1"/>
  </sheetData>
  <phoneticPr fontId="2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6516E-7070-48C8-AD88-FBDC67DC26F5}">
  <sheetPr>
    <tabColor theme="7" tint="0.79998168889431442"/>
  </sheetPr>
  <dimension ref="B1:F10"/>
  <sheetViews>
    <sheetView showGridLines="0" zoomScaleNormal="100" workbookViewId="0"/>
  </sheetViews>
  <sheetFormatPr defaultColWidth="12.75" defaultRowHeight="20.149999999999999" customHeight="1"/>
  <cols>
    <col min="1" max="1" width="3.58203125" style="28" customWidth="1"/>
    <col min="2" max="2" width="7.08203125" style="28" bestFit="1" customWidth="1"/>
    <col min="3" max="16384" width="12.75" style="28"/>
  </cols>
  <sheetData>
    <row r="1" spans="2:6" ht="20.149999999999999" customHeight="1">
      <c r="B1" s="335" t="s">
        <v>340</v>
      </c>
    </row>
    <row r="2" spans="2:6" ht="20.149999999999999" customHeight="1" thickBot="1"/>
    <row r="3" spans="2:6" ht="20.149999999999999" customHeight="1">
      <c r="B3" s="157" t="s">
        <v>198</v>
      </c>
      <c r="C3" s="30"/>
      <c r="D3" s="30"/>
      <c r="E3" s="30"/>
    </row>
    <row r="4" spans="2:6" ht="20.149999999999999" customHeight="1">
      <c r="C4" s="234" t="s">
        <v>45</v>
      </c>
      <c r="D4" s="234" t="s">
        <v>199</v>
      </c>
      <c r="E4" s="234" t="s">
        <v>46</v>
      </c>
    </row>
    <row r="5" spans="2:6" ht="20.149999999999999" customHeight="1">
      <c r="B5" s="191" t="s">
        <v>43</v>
      </c>
      <c r="C5" s="166" t="s">
        <v>200</v>
      </c>
      <c r="D5" s="166" t="s">
        <v>123</v>
      </c>
      <c r="E5" s="166" t="s">
        <v>123</v>
      </c>
    </row>
    <row r="6" spans="2:6" ht="20.149999999999999" customHeight="1">
      <c r="B6" s="203" t="s">
        <v>41</v>
      </c>
      <c r="C6" s="193">
        <v>300</v>
      </c>
      <c r="D6" s="193">
        <v>3500</v>
      </c>
      <c r="E6" s="192"/>
    </row>
    <row r="7" spans="2:6" ht="20.149999999999999" customHeight="1">
      <c r="B7" s="203" t="s">
        <v>34</v>
      </c>
      <c r="C7" s="193">
        <v>1000</v>
      </c>
      <c r="D7" s="193">
        <v>300</v>
      </c>
      <c r="E7" s="192"/>
    </row>
    <row r="8" spans="2:6" ht="20.149999999999999" customHeight="1">
      <c r="B8" s="203" t="s">
        <v>38</v>
      </c>
      <c r="C8" s="193">
        <v>3000</v>
      </c>
      <c r="D8" s="193">
        <v>100</v>
      </c>
      <c r="E8" s="192"/>
    </row>
    <row r="9" spans="2:6" ht="20.149999999999999" customHeight="1" thickBot="1">
      <c r="B9" s="165" t="s">
        <v>162</v>
      </c>
      <c r="C9" s="197">
        <f>SUM(C6:C8)</f>
        <v>4300</v>
      </c>
      <c r="D9" s="235">
        <f>E9/C9</f>
        <v>383.72093023255815</v>
      </c>
      <c r="E9" s="215">
        <f>SUMPRODUCT(C6:C8,D6:D8)</f>
        <v>1650000</v>
      </c>
      <c r="F9" s="236"/>
    </row>
    <row r="10" spans="2:6" ht="20.149999999999999" customHeight="1">
      <c r="B10" s="37"/>
      <c r="D10" s="234"/>
    </row>
  </sheetData>
  <phoneticPr fontId="2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006C3-04F2-4E00-A23D-3CA067709F14}">
  <sheetPr>
    <tabColor theme="9" tint="0.79998168889431442"/>
  </sheetPr>
  <dimension ref="B1:F14"/>
  <sheetViews>
    <sheetView showGridLines="0" zoomScaleNormal="100" workbookViewId="0"/>
  </sheetViews>
  <sheetFormatPr defaultColWidth="12.75" defaultRowHeight="20.149999999999999" customHeight="1"/>
  <cols>
    <col min="1" max="1" width="3.58203125" style="28" customWidth="1"/>
    <col min="2" max="2" width="12.75" style="28"/>
    <col min="3" max="5" width="8.58203125" style="28" customWidth="1"/>
    <col min="6" max="16384" width="12.75" style="28"/>
  </cols>
  <sheetData>
    <row r="1" spans="2:6" ht="20.149999999999999" customHeight="1">
      <c r="B1" s="335" t="s">
        <v>339</v>
      </c>
    </row>
    <row r="2" spans="2:6" ht="20.149999999999999" customHeight="1" thickBot="1">
      <c r="B2" s="37"/>
    </row>
    <row r="3" spans="2:6" ht="20.149999999999999" customHeight="1">
      <c r="B3" s="29" t="s">
        <v>26</v>
      </c>
      <c r="C3" s="30"/>
      <c r="D3" s="30"/>
      <c r="E3" s="30"/>
    </row>
    <row r="4" spans="2:6" ht="20.149999999999999" customHeight="1" thickBot="1">
      <c r="B4" s="31" t="s">
        <v>27</v>
      </c>
      <c r="C4" s="32" t="s">
        <v>28</v>
      </c>
      <c r="D4" s="33" t="s">
        <v>29</v>
      </c>
      <c r="E4" s="33" t="s">
        <v>30</v>
      </c>
    </row>
    <row r="5" spans="2:6" ht="20.149999999999999" customHeight="1" thickBot="1">
      <c r="B5" s="154" t="s">
        <v>31</v>
      </c>
      <c r="C5" s="338">
        <f>VLOOKUP(B5,B9:C14,2,)</f>
        <v>150</v>
      </c>
      <c r="D5" s="337">
        <f>COUNTIF(B9:C14,B5)</f>
        <v>1</v>
      </c>
      <c r="E5" s="34">
        <f ca="1">SUMIF(B9:C14,B5,C9:C14)</f>
        <v>150</v>
      </c>
    </row>
    <row r="6" spans="2:6" ht="20.149999999999999" customHeight="1" thickBot="1"/>
    <row r="7" spans="2:6" ht="20.149999999999999" customHeight="1">
      <c r="B7" s="30" t="s">
        <v>32</v>
      </c>
      <c r="C7" s="30"/>
    </row>
    <row r="8" spans="2:6" ht="20.149999999999999" customHeight="1">
      <c r="B8" s="31"/>
      <c r="C8" s="35" t="s">
        <v>33</v>
      </c>
    </row>
    <row r="9" spans="2:6" ht="20.149999999999999" customHeight="1">
      <c r="B9" s="150" t="s">
        <v>34</v>
      </c>
      <c r="C9" s="36">
        <v>350</v>
      </c>
    </row>
    <row r="10" spans="2:6" ht="20.149999999999999" customHeight="1">
      <c r="B10" s="150" t="s">
        <v>35</v>
      </c>
      <c r="C10" s="36">
        <v>1500</v>
      </c>
      <c r="F10" s="336"/>
    </row>
    <row r="11" spans="2:6" ht="20.149999999999999" customHeight="1">
      <c r="B11" s="150" t="s">
        <v>36</v>
      </c>
      <c r="C11" s="36">
        <v>800</v>
      </c>
    </row>
    <row r="12" spans="2:6" ht="20.149999999999999" customHeight="1">
      <c r="B12" s="150" t="s">
        <v>37</v>
      </c>
      <c r="C12" s="36">
        <v>1200</v>
      </c>
    </row>
    <row r="13" spans="2:6" ht="20.149999999999999" customHeight="1">
      <c r="B13" s="150" t="s">
        <v>31</v>
      </c>
      <c r="C13" s="36">
        <v>150</v>
      </c>
    </row>
    <row r="14" spans="2:6" ht="20.149999999999999" customHeight="1" thickBot="1">
      <c r="B14" s="151" t="s">
        <v>38</v>
      </c>
      <c r="C14" s="34">
        <v>200</v>
      </c>
    </row>
  </sheetData>
  <phoneticPr fontId="2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0E7DF-9DD3-4528-86A1-DF8492F7D558}">
  <sheetPr>
    <tabColor theme="9" tint="0.79998168889431442"/>
  </sheetPr>
  <dimension ref="A1:H122"/>
  <sheetViews>
    <sheetView showGridLines="0" zoomScaleNormal="100" workbookViewId="0"/>
  </sheetViews>
  <sheetFormatPr defaultColWidth="9" defaultRowHeight="20.149999999999999" customHeight="1"/>
  <cols>
    <col min="1" max="1" width="3.58203125" style="2" customWidth="1"/>
    <col min="2" max="2" width="7.58203125" style="2" customWidth="1"/>
    <col min="3" max="3" width="9" style="2" bestFit="1" customWidth="1"/>
    <col min="4" max="4" width="13.33203125" style="2" customWidth="1"/>
    <col min="5" max="5" width="20" style="2" customWidth="1"/>
    <col min="6" max="6" width="9" style="2"/>
    <col min="7" max="7" width="5.5" style="2" bestFit="1" customWidth="1"/>
    <col min="8" max="9" width="9.5" style="2" bestFit="1" customWidth="1"/>
    <col min="10" max="16384" width="9" style="2"/>
  </cols>
  <sheetData>
    <row r="1" spans="1:8" ht="20.149999999999999" customHeight="1">
      <c r="B1" s="334" t="s">
        <v>295</v>
      </c>
    </row>
    <row r="2" spans="1:8" ht="20.149999999999999" customHeight="1" thickBot="1">
      <c r="A2" s="95"/>
    </row>
    <row r="3" spans="1:8" ht="20.149999999999999" customHeight="1">
      <c r="A3" s="97"/>
      <c r="B3" s="138" t="s">
        <v>105</v>
      </c>
      <c r="C3" s="139" t="s">
        <v>45</v>
      </c>
      <c r="D3" s="140" t="s">
        <v>106</v>
      </c>
      <c r="F3" s="140" t="s">
        <v>45</v>
      </c>
      <c r="G3" s="141"/>
      <c r="H3" s="140" t="s">
        <v>106</v>
      </c>
    </row>
    <row r="4" spans="1:8" ht="20.149999999999999" customHeight="1">
      <c r="A4" s="97"/>
      <c r="B4" s="93" t="s">
        <v>13</v>
      </c>
      <c r="C4" s="142">
        <v>28976</v>
      </c>
      <c r="D4" s="20">
        <f>VLOOKUP(C4,$F$4:$H$7,3,TRUE)</f>
        <v>300000</v>
      </c>
      <c r="F4" s="142">
        <v>10000</v>
      </c>
      <c r="G4" s="115" t="s">
        <v>107</v>
      </c>
      <c r="H4" s="142">
        <v>300000</v>
      </c>
    </row>
    <row r="5" spans="1:8" ht="20.149999999999999" customHeight="1">
      <c r="A5" s="97"/>
      <c r="B5" s="93" t="s">
        <v>14</v>
      </c>
      <c r="C5" s="142">
        <v>73759</v>
      </c>
      <c r="D5" s="20">
        <f t="shared" ref="D5:D18" si="0">VLOOKUP(C5,$F$4:$H$7,3,TRUE)</f>
        <v>800000</v>
      </c>
      <c r="F5" s="142">
        <v>30000</v>
      </c>
      <c r="G5" s="123" t="s">
        <v>107</v>
      </c>
      <c r="H5" s="142">
        <v>500000</v>
      </c>
    </row>
    <row r="6" spans="1:8" ht="20.149999999999999" customHeight="1">
      <c r="A6" s="97"/>
      <c r="B6" s="93" t="s">
        <v>16</v>
      </c>
      <c r="C6" s="142">
        <v>48386</v>
      </c>
      <c r="D6" s="20">
        <f t="shared" si="0"/>
        <v>500000</v>
      </c>
      <c r="F6" s="142">
        <v>50000</v>
      </c>
      <c r="G6" s="123" t="s">
        <v>107</v>
      </c>
      <c r="H6" s="142">
        <v>800000</v>
      </c>
    </row>
    <row r="7" spans="1:8" ht="20.149999999999999" customHeight="1" thickBot="1">
      <c r="A7" s="97"/>
      <c r="B7" s="93" t="s">
        <v>84</v>
      </c>
      <c r="C7" s="142">
        <v>29150</v>
      </c>
      <c r="D7" s="20">
        <f t="shared" si="0"/>
        <v>300000</v>
      </c>
      <c r="F7" s="143">
        <v>75000</v>
      </c>
      <c r="G7" s="14" t="s">
        <v>107</v>
      </c>
      <c r="H7" s="143">
        <v>1000000</v>
      </c>
    </row>
    <row r="8" spans="1:8" ht="20.149999999999999" customHeight="1">
      <c r="A8" s="97"/>
      <c r="B8" s="93" t="s">
        <v>85</v>
      </c>
      <c r="C8" s="142">
        <v>27608</v>
      </c>
      <c r="D8" s="20">
        <f t="shared" si="0"/>
        <v>300000</v>
      </c>
      <c r="H8" s="144"/>
    </row>
    <row r="9" spans="1:8" ht="20.149999999999999" customHeight="1" thickBot="1">
      <c r="A9" s="97"/>
      <c r="B9" s="93" t="s">
        <v>86</v>
      </c>
      <c r="C9" s="142">
        <v>72384</v>
      </c>
      <c r="D9" s="20">
        <f t="shared" si="0"/>
        <v>800000</v>
      </c>
      <c r="H9" s="144"/>
    </row>
    <row r="10" spans="1:8" ht="20.149999999999999" customHeight="1">
      <c r="A10" s="97"/>
      <c r="B10" s="93" t="s">
        <v>108</v>
      </c>
      <c r="C10" s="142">
        <v>13962</v>
      </c>
      <c r="D10" s="20">
        <f t="shared" si="0"/>
        <v>300000</v>
      </c>
      <c r="F10" s="145" t="s">
        <v>109</v>
      </c>
    </row>
    <row r="11" spans="1:8" ht="20.149999999999999" customHeight="1">
      <c r="A11" s="97"/>
      <c r="B11" s="93" t="s">
        <v>110</v>
      </c>
      <c r="C11" s="142">
        <v>77703</v>
      </c>
      <c r="D11" s="20">
        <f t="shared" si="0"/>
        <v>1000000</v>
      </c>
      <c r="F11" s="46">
        <f>MAX(C:C)</f>
        <v>98339</v>
      </c>
    </row>
    <row r="12" spans="1:8" ht="20.149999999999999" customHeight="1">
      <c r="A12" s="97"/>
      <c r="B12" s="93" t="s">
        <v>111</v>
      </c>
      <c r="C12" s="142">
        <v>77373</v>
      </c>
      <c r="D12" s="20">
        <f t="shared" si="0"/>
        <v>1000000</v>
      </c>
      <c r="F12" s="146" t="s">
        <v>112</v>
      </c>
    </row>
    <row r="13" spans="1:8" ht="20.149999999999999" customHeight="1" thickBot="1">
      <c r="A13" s="97"/>
      <c r="B13" s="93" t="s">
        <v>113</v>
      </c>
      <c r="C13" s="142">
        <v>98339</v>
      </c>
      <c r="D13" s="20">
        <f t="shared" si="0"/>
        <v>1000000</v>
      </c>
      <c r="F13" s="137">
        <f>MIN(C:C)</f>
        <v>13962</v>
      </c>
    </row>
    <row r="14" spans="1:8" ht="20.149999999999999" customHeight="1">
      <c r="A14" s="97"/>
      <c r="B14" s="93" t="s">
        <v>114</v>
      </c>
      <c r="C14" s="142">
        <v>21509</v>
      </c>
      <c r="D14" s="20">
        <f t="shared" si="0"/>
        <v>300000</v>
      </c>
    </row>
    <row r="15" spans="1:8" ht="20.149999999999999" customHeight="1">
      <c r="A15" s="97"/>
      <c r="B15" s="93" t="s">
        <v>115</v>
      </c>
      <c r="C15" s="142">
        <v>95898</v>
      </c>
      <c r="D15" s="20">
        <f t="shared" si="0"/>
        <v>1000000</v>
      </c>
    </row>
    <row r="16" spans="1:8" ht="20.149999999999999" customHeight="1">
      <c r="A16" s="97"/>
      <c r="B16" s="93" t="s">
        <v>116</v>
      </c>
      <c r="C16" s="142">
        <v>74337</v>
      </c>
      <c r="D16" s="20">
        <f t="shared" si="0"/>
        <v>800000</v>
      </c>
    </row>
    <row r="17" spans="1:4" ht="20.149999999999999" customHeight="1">
      <c r="A17" s="97"/>
      <c r="B17" s="93" t="s">
        <v>117</v>
      </c>
      <c r="C17" s="142">
        <v>34600</v>
      </c>
      <c r="D17" s="20">
        <f t="shared" si="0"/>
        <v>500000</v>
      </c>
    </row>
    <row r="18" spans="1:4" ht="20.149999999999999" customHeight="1">
      <c r="A18" s="97"/>
      <c r="B18" s="93" t="s">
        <v>118</v>
      </c>
      <c r="C18" s="142">
        <v>75453</v>
      </c>
      <c r="D18" s="20">
        <f t="shared" si="0"/>
        <v>1000000</v>
      </c>
    </row>
    <row r="19" spans="1:4" ht="20.149999999999999" customHeight="1" thickBot="1">
      <c r="A19" s="97"/>
      <c r="B19" s="94"/>
      <c r="C19" s="94"/>
      <c r="D19" s="147"/>
    </row>
    <row r="20" spans="1:4" ht="20.149999999999999" customHeight="1">
      <c r="A20" s="97"/>
      <c r="B20" s="98"/>
      <c r="C20" s="98"/>
      <c r="D20" s="144"/>
    </row>
    <row r="21" spans="1:4" ht="20.149999999999999" customHeight="1">
      <c r="A21" s="97"/>
      <c r="B21" s="98"/>
      <c r="C21" s="98"/>
      <c r="D21" s="144"/>
    </row>
    <row r="22" spans="1:4" ht="20.149999999999999" customHeight="1">
      <c r="A22" s="97"/>
      <c r="B22" s="98"/>
      <c r="C22" s="98"/>
      <c r="D22" s="144"/>
    </row>
    <row r="23" spans="1:4" ht="20.149999999999999" customHeight="1">
      <c r="A23" s="97"/>
      <c r="B23" s="98"/>
      <c r="C23" s="98"/>
      <c r="D23" s="144"/>
    </row>
    <row r="24" spans="1:4" ht="20.149999999999999" customHeight="1">
      <c r="A24" s="97"/>
      <c r="B24" s="98"/>
      <c r="C24" s="98"/>
      <c r="D24" s="144"/>
    </row>
    <row r="25" spans="1:4" ht="20.149999999999999" customHeight="1">
      <c r="A25" s="97"/>
      <c r="B25" s="98"/>
      <c r="C25" s="98"/>
      <c r="D25" s="144"/>
    </row>
    <row r="26" spans="1:4" ht="20.149999999999999" customHeight="1">
      <c r="A26" s="97"/>
      <c r="B26" s="98"/>
      <c r="C26" s="98"/>
      <c r="D26" s="144"/>
    </row>
    <row r="27" spans="1:4" ht="20.149999999999999" customHeight="1">
      <c r="A27" s="97"/>
      <c r="B27" s="98"/>
      <c r="C27" s="98"/>
      <c r="D27" s="144"/>
    </row>
    <row r="28" spans="1:4" ht="20.149999999999999" customHeight="1">
      <c r="A28" s="97"/>
      <c r="B28" s="98"/>
      <c r="C28" s="98"/>
      <c r="D28" s="144"/>
    </row>
    <row r="29" spans="1:4" ht="20.149999999999999" customHeight="1">
      <c r="A29" s="97"/>
      <c r="B29" s="98"/>
      <c r="C29" s="98"/>
      <c r="D29" s="144"/>
    </row>
    <row r="30" spans="1:4" ht="20.149999999999999" customHeight="1">
      <c r="A30" s="97"/>
      <c r="B30" s="98"/>
      <c r="C30" s="98"/>
    </row>
    <row r="31" spans="1:4" ht="20.149999999999999" customHeight="1">
      <c r="A31" s="97"/>
      <c r="B31" s="98"/>
      <c r="C31" s="98"/>
    </row>
    <row r="32" spans="1:4" ht="20.149999999999999" customHeight="1">
      <c r="A32" s="97"/>
      <c r="B32" s="98"/>
      <c r="C32" s="98"/>
    </row>
    <row r="33" spans="1:3" ht="20.149999999999999" customHeight="1">
      <c r="A33" s="97"/>
      <c r="B33" s="98"/>
      <c r="C33" s="98"/>
    </row>
    <row r="34" spans="1:3" ht="20.149999999999999" customHeight="1">
      <c r="A34" s="97"/>
      <c r="B34" s="98"/>
      <c r="C34" s="98"/>
    </row>
    <row r="35" spans="1:3" ht="20.149999999999999" customHeight="1">
      <c r="A35" s="97"/>
      <c r="B35" s="98"/>
      <c r="C35" s="98"/>
    </row>
    <row r="36" spans="1:3" ht="20.149999999999999" customHeight="1">
      <c r="A36" s="97"/>
      <c r="B36" s="98"/>
      <c r="C36" s="98"/>
    </row>
    <row r="37" spans="1:3" ht="20.149999999999999" customHeight="1">
      <c r="A37" s="97"/>
      <c r="B37" s="98"/>
      <c r="C37" s="98"/>
    </row>
    <row r="38" spans="1:3" ht="20.149999999999999" customHeight="1">
      <c r="A38" s="97"/>
      <c r="B38" s="98"/>
      <c r="C38" s="98"/>
    </row>
    <row r="39" spans="1:3" ht="20.149999999999999" customHeight="1">
      <c r="A39" s="97"/>
      <c r="B39" s="98"/>
      <c r="C39" s="98"/>
    </row>
    <row r="40" spans="1:3" ht="20.149999999999999" customHeight="1">
      <c r="A40" s="97"/>
      <c r="B40" s="98"/>
      <c r="C40" s="98"/>
    </row>
    <row r="41" spans="1:3" ht="20.149999999999999" customHeight="1">
      <c r="A41" s="97"/>
      <c r="B41" s="98"/>
      <c r="C41" s="98"/>
    </row>
    <row r="42" spans="1:3" ht="20.149999999999999" customHeight="1">
      <c r="A42" s="97"/>
      <c r="B42" s="98"/>
      <c r="C42" s="98"/>
    </row>
    <row r="43" spans="1:3" ht="20.149999999999999" customHeight="1">
      <c r="A43" s="97"/>
      <c r="B43" s="98"/>
      <c r="C43" s="98"/>
    </row>
    <row r="44" spans="1:3" ht="20.149999999999999" customHeight="1">
      <c r="A44" s="97"/>
      <c r="B44" s="98"/>
      <c r="C44" s="98"/>
    </row>
    <row r="45" spans="1:3" ht="20.149999999999999" customHeight="1">
      <c r="A45" s="97"/>
      <c r="B45" s="98"/>
      <c r="C45" s="98"/>
    </row>
    <row r="46" spans="1:3" ht="20.149999999999999" customHeight="1">
      <c r="A46" s="97"/>
      <c r="B46" s="98"/>
      <c r="C46" s="98"/>
    </row>
    <row r="47" spans="1:3" ht="20.149999999999999" customHeight="1">
      <c r="A47" s="97"/>
      <c r="B47" s="98"/>
      <c r="C47" s="98"/>
    </row>
    <row r="48" spans="1:3" ht="20.149999999999999" customHeight="1">
      <c r="A48" s="97"/>
      <c r="B48" s="98"/>
      <c r="C48" s="98"/>
    </row>
    <row r="49" spans="1:3" ht="20.149999999999999" customHeight="1">
      <c r="A49" s="97"/>
      <c r="B49" s="98"/>
      <c r="C49" s="98"/>
    </row>
    <row r="50" spans="1:3" ht="20.149999999999999" customHeight="1">
      <c r="A50" s="97"/>
      <c r="B50" s="98"/>
      <c r="C50" s="98"/>
    </row>
    <row r="51" spans="1:3" ht="20.149999999999999" customHeight="1">
      <c r="A51" s="97"/>
      <c r="B51" s="98"/>
      <c r="C51" s="98"/>
    </row>
    <row r="52" spans="1:3" ht="20.149999999999999" customHeight="1">
      <c r="A52" s="97"/>
      <c r="B52" s="98"/>
      <c r="C52" s="98"/>
    </row>
    <row r="53" spans="1:3" ht="20.149999999999999" customHeight="1">
      <c r="A53" s="97"/>
      <c r="B53" s="98"/>
      <c r="C53" s="98"/>
    </row>
    <row r="54" spans="1:3" ht="20.149999999999999" customHeight="1">
      <c r="A54" s="97"/>
      <c r="B54" s="98"/>
      <c r="C54" s="98"/>
    </row>
    <row r="55" spans="1:3" ht="20.149999999999999" customHeight="1">
      <c r="A55" s="97"/>
      <c r="B55" s="98"/>
      <c r="C55" s="98"/>
    </row>
    <row r="56" spans="1:3" ht="20.149999999999999" customHeight="1">
      <c r="A56" s="97"/>
      <c r="B56" s="98"/>
      <c r="C56" s="98"/>
    </row>
    <row r="57" spans="1:3" ht="20.149999999999999" customHeight="1">
      <c r="A57" s="97"/>
      <c r="B57" s="98"/>
      <c r="C57" s="98"/>
    </row>
    <row r="58" spans="1:3" ht="20.149999999999999" customHeight="1">
      <c r="A58" s="97"/>
      <c r="B58" s="98"/>
      <c r="C58" s="98"/>
    </row>
    <row r="59" spans="1:3" ht="20.149999999999999" customHeight="1">
      <c r="A59" s="97"/>
      <c r="B59" s="98"/>
      <c r="C59" s="98"/>
    </row>
    <row r="60" spans="1:3" ht="20.149999999999999" customHeight="1">
      <c r="A60" s="97"/>
      <c r="B60" s="98"/>
      <c r="C60" s="98"/>
    </row>
    <row r="61" spans="1:3" ht="20.149999999999999" customHeight="1">
      <c r="A61" s="97"/>
      <c r="B61" s="98"/>
      <c r="C61" s="98"/>
    </row>
    <row r="62" spans="1:3" ht="20.149999999999999" customHeight="1">
      <c r="A62" s="97"/>
      <c r="B62" s="98"/>
      <c r="C62" s="98"/>
    </row>
    <row r="63" spans="1:3" ht="20.149999999999999" customHeight="1">
      <c r="A63" s="97"/>
      <c r="B63" s="98"/>
      <c r="C63" s="98"/>
    </row>
    <row r="64" spans="1:3" ht="20.149999999999999" customHeight="1">
      <c r="A64" s="97"/>
      <c r="B64" s="98"/>
      <c r="C64" s="98"/>
    </row>
    <row r="65" spans="1:3" ht="20.149999999999999" customHeight="1">
      <c r="A65" s="97"/>
      <c r="B65" s="98"/>
      <c r="C65" s="98"/>
    </row>
    <row r="66" spans="1:3" ht="20.149999999999999" customHeight="1">
      <c r="A66" s="97"/>
      <c r="B66" s="98"/>
      <c r="C66" s="98"/>
    </row>
    <row r="67" spans="1:3" ht="20.149999999999999" customHeight="1">
      <c r="A67" s="97"/>
      <c r="B67" s="98"/>
      <c r="C67" s="98"/>
    </row>
    <row r="68" spans="1:3" ht="20.149999999999999" customHeight="1">
      <c r="A68" s="97"/>
      <c r="B68" s="98"/>
      <c r="C68" s="98"/>
    </row>
    <row r="69" spans="1:3" ht="20.149999999999999" customHeight="1">
      <c r="A69" s="97"/>
      <c r="B69" s="98"/>
      <c r="C69" s="98"/>
    </row>
    <row r="70" spans="1:3" ht="20.149999999999999" customHeight="1">
      <c r="A70" s="97"/>
      <c r="B70" s="98"/>
      <c r="C70" s="98"/>
    </row>
    <row r="71" spans="1:3" ht="20.149999999999999" customHeight="1">
      <c r="A71" s="97"/>
      <c r="B71" s="98"/>
      <c r="C71" s="98"/>
    </row>
    <row r="72" spans="1:3" ht="20.149999999999999" customHeight="1">
      <c r="A72" s="97"/>
      <c r="B72" s="98"/>
      <c r="C72" s="98"/>
    </row>
    <row r="73" spans="1:3" ht="20.149999999999999" customHeight="1">
      <c r="A73" s="97"/>
      <c r="B73" s="98"/>
      <c r="C73" s="98"/>
    </row>
    <row r="74" spans="1:3" ht="20.149999999999999" customHeight="1">
      <c r="A74" s="97"/>
      <c r="B74" s="98"/>
      <c r="C74" s="98"/>
    </row>
    <row r="75" spans="1:3" ht="20.149999999999999" customHeight="1">
      <c r="A75" s="97"/>
      <c r="B75" s="98"/>
      <c r="C75" s="98"/>
    </row>
    <row r="76" spans="1:3" ht="20.149999999999999" customHeight="1">
      <c r="A76" s="97"/>
      <c r="B76" s="98"/>
      <c r="C76" s="98"/>
    </row>
    <row r="77" spans="1:3" ht="20.149999999999999" customHeight="1">
      <c r="A77" s="97"/>
      <c r="B77" s="98"/>
      <c r="C77" s="98"/>
    </row>
    <row r="78" spans="1:3" ht="20.149999999999999" customHeight="1">
      <c r="A78" s="97"/>
      <c r="B78" s="98"/>
      <c r="C78" s="98"/>
    </row>
    <row r="79" spans="1:3" ht="20.149999999999999" customHeight="1">
      <c r="A79" s="97"/>
      <c r="B79" s="98"/>
      <c r="C79" s="98"/>
    </row>
    <row r="80" spans="1:3" ht="20.149999999999999" customHeight="1">
      <c r="A80" s="97"/>
      <c r="B80" s="98"/>
      <c r="C80" s="98"/>
    </row>
    <row r="81" spans="1:3" ht="20.149999999999999" customHeight="1">
      <c r="A81" s="97"/>
      <c r="B81" s="98"/>
      <c r="C81" s="98"/>
    </row>
    <row r="82" spans="1:3" ht="20.149999999999999" customHeight="1">
      <c r="A82" s="97"/>
      <c r="B82" s="98"/>
      <c r="C82" s="98"/>
    </row>
    <row r="83" spans="1:3" ht="20.149999999999999" customHeight="1">
      <c r="A83" s="97"/>
      <c r="B83" s="98"/>
      <c r="C83" s="98"/>
    </row>
    <row r="84" spans="1:3" ht="20.149999999999999" customHeight="1">
      <c r="A84" s="97"/>
      <c r="B84" s="98"/>
      <c r="C84" s="98"/>
    </row>
    <row r="85" spans="1:3" ht="20.149999999999999" customHeight="1">
      <c r="A85" s="97"/>
      <c r="B85" s="98"/>
      <c r="C85" s="98"/>
    </row>
    <row r="86" spans="1:3" ht="20.149999999999999" customHeight="1">
      <c r="A86" s="97"/>
      <c r="B86" s="98"/>
      <c r="C86" s="98"/>
    </row>
    <row r="87" spans="1:3" ht="20.149999999999999" customHeight="1">
      <c r="A87" s="97"/>
      <c r="B87" s="98"/>
      <c r="C87" s="98"/>
    </row>
    <row r="88" spans="1:3" ht="20.149999999999999" customHeight="1">
      <c r="A88" s="97"/>
      <c r="B88" s="98"/>
      <c r="C88" s="98"/>
    </row>
    <row r="89" spans="1:3" ht="20.149999999999999" customHeight="1">
      <c r="A89" s="97"/>
      <c r="B89" s="98"/>
      <c r="C89" s="98"/>
    </row>
    <row r="90" spans="1:3" ht="20.149999999999999" customHeight="1">
      <c r="A90" s="97"/>
      <c r="B90" s="98"/>
      <c r="C90" s="98"/>
    </row>
    <row r="91" spans="1:3" ht="20.149999999999999" customHeight="1">
      <c r="A91" s="97"/>
      <c r="B91" s="98"/>
      <c r="C91" s="98"/>
    </row>
    <row r="92" spans="1:3" ht="20.149999999999999" customHeight="1">
      <c r="A92" s="97"/>
      <c r="B92" s="98"/>
      <c r="C92" s="98"/>
    </row>
    <row r="93" spans="1:3" ht="20.149999999999999" customHeight="1">
      <c r="A93" s="97"/>
      <c r="B93" s="98"/>
      <c r="C93" s="98"/>
    </row>
    <row r="94" spans="1:3" ht="20.149999999999999" customHeight="1">
      <c r="A94" s="97"/>
      <c r="B94" s="98"/>
      <c r="C94" s="98"/>
    </row>
    <row r="95" spans="1:3" ht="20.149999999999999" customHeight="1">
      <c r="A95" s="97"/>
      <c r="B95" s="98"/>
      <c r="C95" s="98"/>
    </row>
    <row r="96" spans="1:3" ht="20.149999999999999" customHeight="1">
      <c r="A96" s="97"/>
      <c r="B96" s="98"/>
      <c r="C96" s="98"/>
    </row>
    <row r="97" spans="1:3" ht="20.149999999999999" customHeight="1">
      <c r="A97" s="97"/>
      <c r="B97" s="98"/>
      <c r="C97" s="98"/>
    </row>
    <row r="98" spans="1:3" ht="20.149999999999999" customHeight="1">
      <c r="A98" s="97"/>
      <c r="B98" s="98"/>
      <c r="C98" s="98"/>
    </row>
    <row r="99" spans="1:3" ht="20.149999999999999" customHeight="1">
      <c r="A99" s="97"/>
      <c r="B99" s="98"/>
      <c r="C99" s="98"/>
    </row>
    <row r="100" spans="1:3" ht="20.149999999999999" customHeight="1">
      <c r="A100" s="97"/>
      <c r="B100" s="98"/>
      <c r="C100" s="98"/>
    </row>
    <row r="101" spans="1:3" ht="20.149999999999999" customHeight="1">
      <c r="A101" s="97"/>
      <c r="B101" s="98"/>
      <c r="C101" s="98"/>
    </row>
    <row r="102" spans="1:3" ht="20.149999999999999" customHeight="1">
      <c r="A102" s="97"/>
      <c r="B102" s="98"/>
      <c r="C102" s="98"/>
    </row>
    <row r="103" spans="1:3" ht="20.149999999999999" customHeight="1">
      <c r="A103" s="97"/>
      <c r="B103" s="98"/>
      <c r="C103" s="98"/>
    </row>
    <row r="104" spans="1:3" ht="20.149999999999999" customHeight="1">
      <c r="A104" s="97"/>
      <c r="B104" s="98"/>
      <c r="C104" s="98"/>
    </row>
    <row r="105" spans="1:3" ht="20.149999999999999" customHeight="1">
      <c r="A105" s="97"/>
      <c r="B105" s="98"/>
      <c r="C105" s="98"/>
    </row>
    <row r="106" spans="1:3" ht="20.149999999999999" customHeight="1">
      <c r="A106" s="97"/>
      <c r="B106" s="98"/>
      <c r="C106" s="98"/>
    </row>
    <row r="107" spans="1:3" ht="20.149999999999999" customHeight="1">
      <c r="A107" s="97"/>
      <c r="B107" s="98"/>
      <c r="C107" s="98"/>
    </row>
    <row r="108" spans="1:3" ht="20.149999999999999" customHeight="1">
      <c r="A108" s="97"/>
      <c r="B108" s="98"/>
      <c r="C108" s="98"/>
    </row>
    <row r="109" spans="1:3" ht="20.149999999999999" customHeight="1">
      <c r="A109" s="97"/>
      <c r="B109" s="98"/>
      <c r="C109" s="98"/>
    </row>
    <row r="110" spans="1:3" ht="20.149999999999999" customHeight="1">
      <c r="A110" s="97"/>
      <c r="B110" s="98"/>
      <c r="C110" s="98"/>
    </row>
    <row r="111" spans="1:3" ht="20.149999999999999" customHeight="1">
      <c r="A111" s="97"/>
      <c r="B111" s="98"/>
      <c r="C111" s="98"/>
    </row>
    <row r="112" spans="1:3" ht="20.149999999999999" customHeight="1">
      <c r="A112" s="97"/>
      <c r="B112" s="98"/>
      <c r="C112" s="98"/>
    </row>
    <row r="113" spans="1:3" ht="20.149999999999999" customHeight="1">
      <c r="A113" s="97"/>
      <c r="B113" s="98"/>
      <c r="C113" s="98"/>
    </row>
    <row r="114" spans="1:3" ht="20.149999999999999" customHeight="1">
      <c r="A114" s="97"/>
      <c r="B114" s="98"/>
      <c r="C114" s="98"/>
    </row>
    <row r="115" spans="1:3" ht="20.149999999999999" customHeight="1">
      <c r="A115" s="97"/>
      <c r="B115" s="98"/>
      <c r="C115" s="98"/>
    </row>
    <row r="116" spans="1:3" ht="20.149999999999999" customHeight="1">
      <c r="A116" s="97"/>
      <c r="B116" s="98"/>
      <c r="C116" s="98"/>
    </row>
    <row r="117" spans="1:3" ht="20.149999999999999" customHeight="1">
      <c r="A117" s="97"/>
      <c r="B117" s="98"/>
      <c r="C117" s="98"/>
    </row>
    <row r="118" spans="1:3" ht="20.149999999999999" customHeight="1">
      <c r="A118" s="97"/>
      <c r="B118" s="98"/>
      <c r="C118" s="98"/>
    </row>
    <row r="119" spans="1:3" ht="20.149999999999999" customHeight="1">
      <c r="A119" s="97"/>
      <c r="B119" s="98"/>
      <c r="C119" s="98"/>
    </row>
    <row r="120" spans="1:3" ht="20.149999999999999" customHeight="1">
      <c r="A120" s="97"/>
      <c r="B120" s="98"/>
      <c r="C120" s="98"/>
    </row>
    <row r="121" spans="1:3" ht="20.149999999999999" customHeight="1">
      <c r="A121" s="97"/>
      <c r="B121" s="98"/>
      <c r="C121" s="98"/>
    </row>
    <row r="122" spans="1:3" ht="20.149999999999999" customHeight="1">
      <c r="A122" s="97"/>
      <c r="B122" s="98"/>
      <c r="C122" s="98"/>
    </row>
  </sheetData>
  <phoneticPr fontId="2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4846A-1C33-4CAB-9805-E86D4BD427F9}">
  <sheetPr>
    <tabColor theme="9" tint="0.79998168889431442"/>
  </sheetPr>
  <dimension ref="B1:E8"/>
  <sheetViews>
    <sheetView showGridLines="0" zoomScaleNormal="100" workbookViewId="0"/>
  </sheetViews>
  <sheetFormatPr defaultColWidth="12.75" defaultRowHeight="20.149999999999999" customHeight="1"/>
  <cols>
    <col min="1" max="1" width="3.58203125" style="28" customWidth="1"/>
    <col min="2" max="2" width="12.75" style="28"/>
    <col min="3" max="5" width="10.58203125" style="28" customWidth="1"/>
    <col min="6" max="16384" width="12.75" style="28"/>
  </cols>
  <sheetData>
    <row r="1" spans="2:5" ht="20.149999999999999" customHeight="1">
      <c r="B1" s="335" t="s">
        <v>269</v>
      </c>
    </row>
    <row r="2" spans="2:5" ht="20.149999999999999" customHeight="1" thickBot="1"/>
    <row r="3" spans="2:5" ht="20.149999999999999" customHeight="1">
      <c r="B3" s="152" t="s">
        <v>121</v>
      </c>
      <c r="C3" s="153"/>
      <c r="D3" s="153"/>
      <c r="E3" s="153"/>
    </row>
    <row r="4" spans="2:5" ht="20.149999999999999" customHeight="1" thickBot="1">
      <c r="B4" s="154" t="s">
        <v>122</v>
      </c>
      <c r="C4" s="34">
        <f>HLOOKUP(B4,C7:E8,2,FALSE)</f>
        <v>450</v>
      </c>
      <c r="D4" s="155" t="s">
        <v>123</v>
      </c>
      <c r="E4" s="156"/>
    </row>
    <row r="5" spans="2:5" ht="20.149999999999999" customHeight="1" thickBot="1"/>
    <row r="6" spans="2:5" ht="20.149999999999999" customHeight="1">
      <c r="B6" s="157" t="s">
        <v>124</v>
      </c>
      <c r="C6" s="30"/>
      <c r="D6" s="30"/>
      <c r="E6" s="30"/>
    </row>
    <row r="7" spans="2:5" ht="20.149999999999999" customHeight="1">
      <c r="B7" s="31"/>
      <c r="C7" s="158" t="s">
        <v>125</v>
      </c>
      <c r="D7" s="158" t="s">
        <v>122</v>
      </c>
      <c r="E7" s="158" t="s">
        <v>126</v>
      </c>
    </row>
    <row r="8" spans="2:5" ht="20.149999999999999" customHeight="1" thickBot="1">
      <c r="B8" s="159" t="s">
        <v>34</v>
      </c>
      <c r="C8" s="34">
        <v>350</v>
      </c>
      <c r="D8" s="34">
        <v>450</v>
      </c>
      <c r="E8" s="34">
        <v>500</v>
      </c>
    </row>
  </sheetData>
  <phoneticPr fontId="2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621C3-396C-4D19-A7BE-8732AB7B4E7B}">
  <sheetPr>
    <tabColor theme="9" tint="0.79998168889431442"/>
  </sheetPr>
  <dimension ref="B1:E15"/>
  <sheetViews>
    <sheetView showGridLines="0" zoomScaleNormal="100" workbookViewId="0"/>
  </sheetViews>
  <sheetFormatPr defaultColWidth="12.75" defaultRowHeight="16" customHeight="1"/>
  <cols>
    <col min="1" max="1" width="1.75" style="28" customWidth="1"/>
    <col min="2" max="2" width="12.75" style="28"/>
    <col min="3" max="5" width="10.58203125" style="28" customWidth="1"/>
    <col min="6" max="16384" width="12.75" style="28"/>
  </cols>
  <sheetData>
    <row r="1" spans="2:5" ht="20.5" customHeight="1">
      <c r="B1" s="335" t="s">
        <v>270</v>
      </c>
    </row>
    <row r="2" spans="2:5" ht="9.5" customHeight="1" thickBot="1"/>
    <row r="3" spans="2:5" ht="16" customHeight="1">
      <c r="B3" s="152" t="s">
        <v>26</v>
      </c>
      <c r="C3" s="153"/>
      <c r="D3" s="153"/>
      <c r="E3" s="153"/>
    </row>
    <row r="4" spans="2:5" ht="16" customHeight="1">
      <c r="B4" s="160" t="s">
        <v>41</v>
      </c>
      <c r="C4" s="345">
        <v>3</v>
      </c>
      <c r="D4" s="161" t="s">
        <v>127</v>
      </c>
      <c r="E4" s="162"/>
    </row>
    <row r="5" spans="2:5" ht="16" customHeight="1">
      <c r="B5" s="163" t="s">
        <v>122</v>
      </c>
      <c r="C5" s="346">
        <v>3</v>
      </c>
      <c r="D5" s="164" t="s">
        <v>128</v>
      </c>
      <c r="E5" s="162"/>
    </row>
    <row r="6" spans="2:5" ht="16" customHeight="1" thickBot="1">
      <c r="B6" s="165" t="s">
        <v>73</v>
      </c>
      <c r="C6" s="347" cm="1">
        <f t="array" ref="C6">INDEX(B9:E15,C4,C5)</f>
        <v>1600</v>
      </c>
      <c r="D6" s="165" t="s">
        <v>123</v>
      </c>
      <c r="E6" s="34"/>
    </row>
    <row r="7" spans="2:5" ht="16" customHeight="1" thickBot="1"/>
    <row r="8" spans="2:5" ht="16" customHeight="1">
      <c r="B8" s="29" t="s">
        <v>129</v>
      </c>
      <c r="C8" s="30"/>
      <c r="D8" s="30"/>
      <c r="E8" s="30"/>
    </row>
    <row r="9" spans="2:5" ht="16" customHeight="1">
      <c r="B9" s="31"/>
      <c r="C9" s="166" t="s">
        <v>130</v>
      </c>
      <c r="D9" s="167" t="s">
        <v>122</v>
      </c>
      <c r="E9" s="166" t="s">
        <v>131</v>
      </c>
    </row>
    <row r="10" spans="2:5" ht="16" customHeight="1">
      <c r="B10" s="168" t="s">
        <v>34</v>
      </c>
      <c r="C10" s="36">
        <v>350</v>
      </c>
      <c r="D10" s="36">
        <v>450</v>
      </c>
      <c r="E10" s="36">
        <v>500</v>
      </c>
    </row>
    <row r="11" spans="2:5" ht="16" customHeight="1">
      <c r="B11" s="169" t="s">
        <v>41</v>
      </c>
      <c r="C11" s="36">
        <v>1500</v>
      </c>
      <c r="D11" s="36">
        <v>1600</v>
      </c>
      <c r="E11" s="36">
        <v>1800</v>
      </c>
    </row>
    <row r="12" spans="2:5" ht="16" customHeight="1">
      <c r="B12" s="168" t="s">
        <v>36</v>
      </c>
      <c r="C12" s="36">
        <v>800</v>
      </c>
      <c r="D12" s="36">
        <v>800</v>
      </c>
      <c r="E12" s="36">
        <v>800</v>
      </c>
    </row>
    <row r="13" spans="2:5" ht="16" customHeight="1">
      <c r="B13" s="168" t="s">
        <v>37</v>
      </c>
      <c r="C13" s="36">
        <v>1200</v>
      </c>
      <c r="D13" s="36">
        <v>1300</v>
      </c>
      <c r="E13" s="36">
        <v>1500</v>
      </c>
    </row>
    <row r="14" spans="2:5" ht="16" customHeight="1">
      <c r="B14" s="344" t="s">
        <v>31</v>
      </c>
      <c r="C14" s="36">
        <v>150</v>
      </c>
      <c r="D14" s="36">
        <v>175</v>
      </c>
      <c r="E14" s="36">
        <v>200</v>
      </c>
    </row>
    <row r="15" spans="2:5" ht="16" customHeight="1" thickBot="1">
      <c r="B15" s="159" t="s">
        <v>38</v>
      </c>
      <c r="C15" s="34">
        <v>200</v>
      </c>
      <c r="D15" s="34">
        <v>220</v>
      </c>
      <c r="E15" s="34">
        <v>250</v>
      </c>
    </row>
  </sheetData>
  <phoneticPr fontId="2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CF09D-84BA-4842-8EC6-AC3302A80B67}">
  <sheetPr>
    <tabColor theme="9" tint="0.79998168889431442"/>
  </sheetPr>
  <dimension ref="B1:E15"/>
  <sheetViews>
    <sheetView showGridLines="0" zoomScaleNormal="100" workbookViewId="0"/>
  </sheetViews>
  <sheetFormatPr defaultColWidth="12.75" defaultRowHeight="16" customHeight="1"/>
  <cols>
    <col min="1" max="1" width="1.75" style="28" customWidth="1"/>
    <col min="2" max="2" width="12.75" style="28"/>
    <col min="3" max="5" width="10.58203125" style="28" customWidth="1"/>
    <col min="6" max="16384" width="12.75" style="28"/>
  </cols>
  <sheetData>
    <row r="1" spans="2:5" ht="19.5" customHeight="1">
      <c r="B1" s="335" t="s">
        <v>271</v>
      </c>
    </row>
    <row r="2" spans="2:5" ht="5.25" customHeight="1" thickBot="1"/>
    <row r="3" spans="2:5" ht="16" customHeight="1">
      <c r="B3" s="152" t="s">
        <v>26</v>
      </c>
      <c r="C3" s="153"/>
      <c r="D3" s="153"/>
      <c r="E3" s="153"/>
    </row>
    <row r="4" spans="2:5" ht="16" customHeight="1">
      <c r="B4" s="160" t="s">
        <v>47</v>
      </c>
      <c r="C4" s="348">
        <f>MATCH(B4,B9:B15,0)</f>
        <v>4</v>
      </c>
      <c r="D4" s="161" t="s">
        <v>127</v>
      </c>
      <c r="E4" s="162"/>
    </row>
    <row r="5" spans="2:5" ht="16" customHeight="1">
      <c r="B5" s="163" t="s">
        <v>131</v>
      </c>
      <c r="C5" s="349">
        <f>MATCH(B5,B9:E9,0)</f>
        <v>4</v>
      </c>
      <c r="D5" s="164" t="s">
        <v>128</v>
      </c>
      <c r="E5" s="162"/>
    </row>
    <row r="6" spans="2:5" ht="16" customHeight="1" thickBot="1">
      <c r="B6" s="165" t="s">
        <v>73</v>
      </c>
      <c r="C6" s="350" cm="1">
        <f t="array" ref="C6">INDEX(B9:E15,C4,C5)</f>
        <v>800</v>
      </c>
      <c r="D6" s="165" t="s">
        <v>123</v>
      </c>
      <c r="E6" s="34"/>
    </row>
    <row r="7" spans="2:5" ht="16" customHeight="1" thickBot="1"/>
    <row r="8" spans="2:5" ht="16" customHeight="1">
      <c r="B8" s="29" t="s">
        <v>129</v>
      </c>
      <c r="C8" s="30"/>
      <c r="D8" s="30"/>
      <c r="E8" s="30"/>
    </row>
    <row r="9" spans="2:5" ht="16" customHeight="1">
      <c r="B9" s="31"/>
      <c r="C9" s="166" t="s">
        <v>130</v>
      </c>
      <c r="D9" s="166" t="s">
        <v>122</v>
      </c>
      <c r="E9" s="166" t="s">
        <v>131</v>
      </c>
    </row>
    <row r="10" spans="2:5" ht="16" customHeight="1">
      <c r="B10" s="168" t="s">
        <v>34</v>
      </c>
      <c r="C10" s="36">
        <v>350</v>
      </c>
      <c r="D10" s="36">
        <v>450</v>
      </c>
      <c r="E10" s="36">
        <v>500</v>
      </c>
    </row>
    <row r="11" spans="2:5" ht="16" customHeight="1">
      <c r="B11" s="168" t="s">
        <v>35</v>
      </c>
      <c r="C11" s="36">
        <v>1500</v>
      </c>
      <c r="D11" s="36">
        <v>1600</v>
      </c>
      <c r="E11" s="36">
        <v>1800</v>
      </c>
    </row>
    <row r="12" spans="2:5" ht="16" customHeight="1">
      <c r="B12" s="168" t="s">
        <v>36</v>
      </c>
      <c r="C12" s="36">
        <v>800</v>
      </c>
      <c r="D12" s="36">
        <v>800</v>
      </c>
      <c r="E12" s="36">
        <v>800</v>
      </c>
    </row>
    <row r="13" spans="2:5" ht="16" customHeight="1">
      <c r="B13" s="168" t="s">
        <v>37</v>
      </c>
      <c r="C13" s="36">
        <v>1200</v>
      </c>
      <c r="D13" s="36">
        <v>1300</v>
      </c>
      <c r="E13" s="36">
        <v>1500</v>
      </c>
    </row>
    <row r="14" spans="2:5" ht="16" customHeight="1">
      <c r="B14" s="168" t="s">
        <v>31</v>
      </c>
      <c r="C14" s="36">
        <v>150</v>
      </c>
      <c r="D14" s="36">
        <v>175</v>
      </c>
      <c r="E14" s="36">
        <v>200</v>
      </c>
    </row>
    <row r="15" spans="2:5" ht="16" customHeight="1" thickBot="1">
      <c r="B15" s="159" t="s">
        <v>38</v>
      </c>
      <c r="C15" s="34">
        <v>200</v>
      </c>
      <c r="D15" s="34">
        <v>220</v>
      </c>
      <c r="E15" s="34">
        <v>250</v>
      </c>
    </row>
  </sheetData>
  <phoneticPr fontId="2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5DE78-61D9-4E57-BBFE-D6CE210E1B47}">
  <sheetPr>
    <tabColor theme="9" tint="0.79998168889431442"/>
  </sheetPr>
  <dimension ref="B1:F9"/>
  <sheetViews>
    <sheetView showGridLines="0" zoomScaleNormal="100" workbookViewId="0"/>
  </sheetViews>
  <sheetFormatPr defaultColWidth="9" defaultRowHeight="20.149999999999999" customHeight="1"/>
  <cols>
    <col min="1" max="1" width="3.58203125" style="104" customWidth="1"/>
    <col min="2" max="2" width="21.33203125" style="104" bestFit="1" customWidth="1"/>
    <col min="3" max="3" width="9" style="104"/>
    <col min="4" max="4" width="10.75" style="104" customWidth="1"/>
    <col min="5" max="5" width="9" style="104"/>
    <col min="6" max="6" width="16.08203125" style="104" bestFit="1" customWidth="1"/>
    <col min="7" max="16384" width="9" style="104"/>
  </cols>
  <sheetData>
    <row r="1" spans="2:6" ht="20.149999999999999" customHeight="1">
      <c r="B1" s="351" t="s">
        <v>299</v>
      </c>
    </row>
    <row r="2" spans="2:6" ht="20.149999999999999" customHeight="1" thickBot="1"/>
    <row r="3" spans="2:6" ht="20.149999999999999" customHeight="1">
      <c r="B3" s="182" t="s">
        <v>147</v>
      </c>
      <c r="D3" s="184" t="s">
        <v>146</v>
      </c>
      <c r="E3" s="183"/>
      <c r="F3" s="108"/>
    </row>
    <row r="4" spans="2:6" ht="20.149999999999999" customHeight="1">
      <c r="B4" s="186" t="s">
        <v>148</v>
      </c>
      <c r="D4" s="187">
        <f>COUNTIF(B3:B9,"*千代田区*")</f>
        <v>2</v>
      </c>
      <c r="E4" s="183"/>
    </row>
    <row r="5" spans="2:6" ht="20.149999999999999" customHeight="1">
      <c r="B5" s="186" t="s">
        <v>149</v>
      </c>
    </row>
    <row r="6" spans="2:6" ht="20.149999999999999" customHeight="1">
      <c r="B6" s="186" t="s">
        <v>150</v>
      </c>
    </row>
    <row r="7" spans="2:6" ht="20.149999999999999" customHeight="1">
      <c r="B7" s="186" t="s">
        <v>151</v>
      </c>
    </row>
    <row r="8" spans="2:6" ht="20.149999999999999" customHeight="1">
      <c r="B8" s="186" t="s">
        <v>152</v>
      </c>
    </row>
    <row r="9" spans="2:6" ht="20.149999999999999" customHeight="1" thickBot="1">
      <c r="B9" s="188" t="s">
        <v>153</v>
      </c>
    </row>
  </sheetData>
  <phoneticPr fontId="2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2A822-1850-4963-9E95-A423727CBAEC}">
  <sheetPr>
    <tabColor rgb="FFFFCC99"/>
  </sheetPr>
  <dimension ref="A1:I122"/>
  <sheetViews>
    <sheetView showGridLines="0" zoomScaleNormal="100" workbookViewId="0"/>
  </sheetViews>
  <sheetFormatPr defaultColWidth="9" defaultRowHeight="20.149999999999999" customHeight="1"/>
  <cols>
    <col min="1" max="1" width="3.58203125" style="2" customWidth="1"/>
    <col min="2" max="2" width="8.58203125" style="2" bestFit="1" customWidth="1"/>
    <col min="3" max="3" width="9.08203125" style="2" bestFit="1" customWidth="1"/>
    <col min="4" max="4" width="10.83203125" style="2" customWidth="1"/>
    <col min="5" max="5" width="13.33203125" style="2" customWidth="1"/>
    <col min="6" max="6" width="9" style="2"/>
    <col min="7" max="7" width="9.08203125" style="2" bestFit="1" customWidth="1"/>
    <col min="8" max="8" width="5.5" style="2" bestFit="1" customWidth="1"/>
    <col min="9" max="10" width="9.5" style="2" bestFit="1" customWidth="1"/>
    <col min="11" max="16384" width="9" style="2"/>
  </cols>
  <sheetData>
    <row r="1" spans="1:9" ht="20.149999999999999" customHeight="1">
      <c r="B1" s="334" t="s">
        <v>296</v>
      </c>
    </row>
    <row r="2" spans="1:9" ht="20.149999999999999" customHeight="1" thickBot="1">
      <c r="A2" s="95"/>
      <c r="D2" s="96"/>
    </row>
    <row r="3" spans="1:9" ht="20.149999999999999" customHeight="1">
      <c r="A3" s="97"/>
      <c r="B3" s="138" t="s">
        <v>105</v>
      </c>
      <c r="C3" s="139" t="s">
        <v>45</v>
      </c>
      <c r="D3" s="139" t="s">
        <v>119</v>
      </c>
      <c r="E3" s="140" t="s">
        <v>106</v>
      </c>
      <c r="G3" s="140" t="s">
        <v>119</v>
      </c>
      <c r="H3" s="141"/>
      <c r="I3" s="140" t="s">
        <v>106</v>
      </c>
    </row>
    <row r="4" spans="1:9" ht="20.149999999999999" customHeight="1">
      <c r="A4" s="97"/>
      <c r="B4" s="93" t="s">
        <v>13</v>
      </c>
      <c r="C4" s="142">
        <v>28976</v>
      </c>
      <c r="D4" s="93">
        <f>RANK(C4,C:C)</f>
        <v>12</v>
      </c>
      <c r="E4" s="20">
        <f>VLOOKUP(D4,$G$4:$I$7,3,TRUE)</f>
        <v>300000</v>
      </c>
      <c r="G4" s="148">
        <v>1</v>
      </c>
      <c r="H4" s="115" t="s">
        <v>120</v>
      </c>
      <c r="I4" s="142">
        <v>1000000</v>
      </c>
    </row>
    <row r="5" spans="1:9" ht="20.149999999999999" customHeight="1">
      <c r="A5" s="97"/>
      <c r="B5" s="93" t="s">
        <v>14</v>
      </c>
      <c r="C5" s="142">
        <v>73759</v>
      </c>
      <c r="D5" s="93">
        <f t="shared" ref="D5:D18" si="0">RANK(C5,C:C)</f>
        <v>7</v>
      </c>
      <c r="E5" s="20">
        <f t="shared" ref="E5:E18" si="1">VLOOKUP(D5,$G$4:$I$7,3,TRUE)</f>
        <v>800000</v>
      </c>
      <c r="G5" s="148">
        <v>4</v>
      </c>
      <c r="H5" s="123" t="s">
        <v>120</v>
      </c>
      <c r="I5" s="142">
        <v>800000</v>
      </c>
    </row>
    <row r="6" spans="1:9" ht="20.149999999999999" customHeight="1">
      <c r="A6" s="97"/>
      <c r="B6" s="93" t="s">
        <v>16</v>
      </c>
      <c r="C6" s="142">
        <v>48386</v>
      </c>
      <c r="D6" s="93">
        <f t="shared" si="0"/>
        <v>9</v>
      </c>
      <c r="E6" s="20">
        <f t="shared" si="1"/>
        <v>500000</v>
      </c>
      <c r="G6" s="148">
        <v>8</v>
      </c>
      <c r="H6" s="123" t="s">
        <v>120</v>
      </c>
      <c r="I6" s="142">
        <v>500000</v>
      </c>
    </row>
    <row r="7" spans="1:9" ht="20.149999999999999" customHeight="1" thickBot="1">
      <c r="A7" s="97"/>
      <c r="B7" s="93" t="s">
        <v>84</v>
      </c>
      <c r="C7" s="142">
        <v>29150</v>
      </c>
      <c r="D7" s="93">
        <f t="shared" si="0"/>
        <v>11</v>
      </c>
      <c r="E7" s="20">
        <f t="shared" si="1"/>
        <v>300000</v>
      </c>
      <c r="G7" s="149">
        <v>11</v>
      </c>
      <c r="H7" s="14" t="s">
        <v>120</v>
      </c>
      <c r="I7" s="143">
        <v>300000</v>
      </c>
    </row>
    <row r="8" spans="1:9" ht="20.149999999999999" customHeight="1">
      <c r="A8" s="97"/>
      <c r="B8" s="93" t="s">
        <v>85</v>
      </c>
      <c r="C8" s="142">
        <v>27608</v>
      </c>
      <c r="D8" s="93">
        <f t="shared" si="0"/>
        <v>13</v>
      </c>
      <c r="E8" s="20">
        <f t="shared" si="1"/>
        <v>300000</v>
      </c>
      <c r="I8" s="144"/>
    </row>
    <row r="9" spans="1:9" ht="20.149999999999999" customHeight="1">
      <c r="A9" s="97"/>
      <c r="B9" s="93" t="s">
        <v>86</v>
      </c>
      <c r="C9" s="142">
        <v>72384</v>
      </c>
      <c r="D9" s="93">
        <f t="shared" si="0"/>
        <v>8</v>
      </c>
      <c r="E9" s="20">
        <f t="shared" si="1"/>
        <v>500000</v>
      </c>
      <c r="I9" s="144"/>
    </row>
    <row r="10" spans="1:9" ht="20.149999999999999" customHeight="1">
      <c r="A10" s="97"/>
      <c r="B10" s="93" t="s">
        <v>108</v>
      </c>
      <c r="C10" s="142">
        <v>13962</v>
      </c>
      <c r="D10" s="93">
        <f t="shared" si="0"/>
        <v>15</v>
      </c>
      <c r="E10" s="20">
        <f t="shared" si="1"/>
        <v>300000</v>
      </c>
    </row>
    <row r="11" spans="1:9" ht="20.149999999999999" customHeight="1">
      <c r="A11" s="97"/>
      <c r="B11" s="93" t="s">
        <v>110</v>
      </c>
      <c r="C11" s="142">
        <v>77703</v>
      </c>
      <c r="D11" s="93">
        <f t="shared" si="0"/>
        <v>3</v>
      </c>
      <c r="E11" s="20">
        <f t="shared" si="1"/>
        <v>1000000</v>
      </c>
    </row>
    <row r="12" spans="1:9" ht="20.149999999999999" customHeight="1">
      <c r="A12" s="97"/>
      <c r="B12" s="93" t="s">
        <v>111</v>
      </c>
      <c r="C12" s="142">
        <v>77373</v>
      </c>
      <c r="D12" s="93">
        <f t="shared" si="0"/>
        <v>4</v>
      </c>
      <c r="E12" s="20">
        <f t="shared" si="1"/>
        <v>800000</v>
      </c>
    </row>
    <row r="13" spans="1:9" ht="20.149999999999999" customHeight="1">
      <c r="A13" s="97"/>
      <c r="B13" s="93" t="s">
        <v>113</v>
      </c>
      <c r="C13" s="142">
        <v>98339</v>
      </c>
      <c r="D13" s="93">
        <f t="shared" si="0"/>
        <v>1</v>
      </c>
      <c r="E13" s="20">
        <f t="shared" si="1"/>
        <v>1000000</v>
      </c>
    </row>
    <row r="14" spans="1:9" ht="20.149999999999999" customHeight="1">
      <c r="A14" s="97"/>
      <c r="B14" s="93" t="s">
        <v>114</v>
      </c>
      <c r="C14" s="142">
        <v>21509</v>
      </c>
      <c r="D14" s="93">
        <f t="shared" si="0"/>
        <v>14</v>
      </c>
      <c r="E14" s="20">
        <f t="shared" si="1"/>
        <v>300000</v>
      </c>
    </row>
    <row r="15" spans="1:9" ht="20.149999999999999" customHeight="1">
      <c r="A15" s="97"/>
      <c r="B15" s="93" t="s">
        <v>115</v>
      </c>
      <c r="C15" s="142">
        <v>95898</v>
      </c>
      <c r="D15" s="93">
        <f t="shared" si="0"/>
        <v>2</v>
      </c>
      <c r="E15" s="20">
        <f t="shared" si="1"/>
        <v>1000000</v>
      </c>
    </row>
    <row r="16" spans="1:9" ht="20.149999999999999" customHeight="1">
      <c r="A16" s="97"/>
      <c r="B16" s="93" t="s">
        <v>116</v>
      </c>
      <c r="C16" s="142">
        <v>74337</v>
      </c>
      <c r="D16" s="93">
        <f t="shared" si="0"/>
        <v>6</v>
      </c>
      <c r="E16" s="20">
        <f t="shared" si="1"/>
        <v>800000</v>
      </c>
    </row>
    <row r="17" spans="1:5" ht="20.149999999999999" customHeight="1">
      <c r="A17" s="97"/>
      <c r="B17" s="93" t="s">
        <v>117</v>
      </c>
      <c r="C17" s="142">
        <v>34600</v>
      </c>
      <c r="D17" s="93">
        <f t="shared" si="0"/>
        <v>10</v>
      </c>
      <c r="E17" s="20">
        <f t="shared" si="1"/>
        <v>500000</v>
      </c>
    </row>
    <row r="18" spans="1:5" ht="20.149999999999999" customHeight="1">
      <c r="A18" s="97"/>
      <c r="B18" s="93" t="s">
        <v>118</v>
      </c>
      <c r="C18" s="142">
        <v>75453</v>
      </c>
      <c r="D18" s="93">
        <f t="shared" si="0"/>
        <v>5</v>
      </c>
      <c r="E18" s="20">
        <f t="shared" si="1"/>
        <v>800000</v>
      </c>
    </row>
    <row r="19" spans="1:5" ht="20.149999999999999" customHeight="1" thickBot="1">
      <c r="A19" s="97"/>
      <c r="B19" s="94"/>
      <c r="C19" s="94"/>
      <c r="D19" s="94"/>
      <c r="E19" s="147"/>
    </row>
    <row r="20" spans="1:5" ht="20.149999999999999" customHeight="1">
      <c r="A20" s="97"/>
      <c r="B20" s="98"/>
      <c r="C20" s="98"/>
      <c r="D20" s="98"/>
      <c r="E20" s="144"/>
    </row>
    <row r="21" spans="1:5" ht="20.149999999999999" customHeight="1">
      <c r="A21" s="97"/>
      <c r="B21" s="98"/>
      <c r="C21" s="98"/>
      <c r="D21" s="98"/>
      <c r="E21" s="144"/>
    </row>
    <row r="22" spans="1:5" ht="20.149999999999999" customHeight="1">
      <c r="A22" s="97"/>
      <c r="B22" s="98"/>
      <c r="C22" s="98"/>
      <c r="D22" s="98"/>
      <c r="E22" s="144"/>
    </row>
    <row r="23" spans="1:5" ht="20.149999999999999" customHeight="1">
      <c r="A23" s="97"/>
      <c r="B23" s="98"/>
      <c r="C23" s="98"/>
      <c r="D23" s="98"/>
      <c r="E23" s="144"/>
    </row>
    <row r="24" spans="1:5" ht="20.149999999999999" customHeight="1">
      <c r="A24" s="97"/>
      <c r="B24" s="98"/>
      <c r="C24" s="98"/>
      <c r="D24" s="98"/>
      <c r="E24" s="144"/>
    </row>
    <row r="25" spans="1:5" ht="20.149999999999999" customHeight="1">
      <c r="A25" s="97"/>
      <c r="B25" s="98"/>
      <c r="C25" s="98"/>
      <c r="D25" s="98"/>
      <c r="E25" s="144"/>
    </row>
    <row r="26" spans="1:5" ht="20.149999999999999" customHeight="1">
      <c r="A26" s="97"/>
      <c r="B26" s="98"/>
      <c r="C26" s="98"/>
      <c r="D26" s="98"/>
      <c r="E26" s="144"/>
    </row>
    <row r="27" spans="1:5" ht="20.149999999999999" customHeight="1">
      <c r="A27" s="97"/>
      <c r="B27" s="98"/>
      <c r="C27" s="98"/>
      <c r="D27" s="98"/>
      <c r="E27" s="144"/>
    </row>
    <row r="28" spans="1:5" ht="20.149999999999999" customHeight="1">
      <c r="A28" s="97"/>
      <c r="B28" s="98"/>
      <c r="C28" s="98"/>
      <c r="D28" s="98"/>
      <c r="E28" s="144"/>
    </row>
    <row r="29" spans="1:5" ht="20.149999999999999" customHeight="1">
      <c r="A29" s="97"/>
      <c r="B29" s="98"/>
      <c r="C29" s="98"/>
      <c r="D29" s="98"/>
      <c r="E29" s="144"/>
    </row>
    <row r="30" spans="1:5" ht="20.149999999999999" customHeight="1">
      <c r="A30" s="97"/>
      <c r="B30" s="98"/>
      <c r="C30" s="98"/>
      <c r="D30" s="98"/>
    </row>
    <row r="31" spans="1:5" ht="20.149999999999999" customHeight="1">
      <c r="A31" s="97"/>
      <c r="B31" s="98"/>
      <c r="C31" s="98"/>
      <c r="D31" s="98"/>
    </row>
    <row r="32" spans="1:5" ht="20.149999999999999" customHeight="1">
      <c r="A32" s="97"/>
      <c r="B32" s="98"/>
      <c r="C32" s="98"/>
      <c r="D32" s="98"/>
    </row>
    <row r="33" spans="1:4" ht="20.149999999999999" customHeight="1">
      <c r="A33" s="97"/>
      <c r="B33" s="98"/>
      <c r="C33" s="98"/>
      <c r="D33" s="98"/>
    </row>
    <row r="34" spans="1:4" ht="20.149999999999999" customHeight="1">
      <c r="A34" s="97"/>
      <c r="B34" s="98"/>
      <c r="C34" s="98"/>
      <c r="D34" s="98"/>
    </row>
    <row r="35" spans="1:4" ht="20.149999999999999" customHeight="1">
      <c r="A35" s="97"/>
      <c r="B35" s="98"/>
      <c r="C35" s="98"/>
      <c r="D35" s="98"/>
    </row>
    <row r="36" spans="1:4" ht="20.149999999999999" customHeight="1">
      <c r="A36" s="97"/>
      <c r="B36" s="98"/>
      <c r="C36" s="98"/>
      <c r="D36" s="98"/>
    </row>
    <row r="37" spans="1:4" ht="20.149999999999999" customHeight="1">
      <c r="A37" s="97"/>
      <c r="B37" s="98"/>
      <c r="C37" s="98"/>
      <c r="D37" s="98"/>
    </row>
    <row r="38" spans="1:4" ht="20.149999999999999" customHeight="1">
      <c r="A38" s="97"/>
      <c r="B38" s="98"/>
      <c r="C38" s="98"/>
      <c r="D38" s="98"/>
    </row>
    <row r="39" spans="1:4" ht="20.149999999999999" customHeight="1">
      <c r="A39" s="97"/>
      <c r="B39" s="98"/>
      <c r="C39" s="98"/>
      <c r="D39" s="98"/>
    </row>
    <row r="40" spans="1:4" ht="20.149999999999999" customHeight="1">
      <c r="A40" s="97"/>
      <c r="B40" s="98"/>
      <c r="C40" s="98"/>
      <c r="D40" s="98"/>
    </row>
    <row r="41" spans="1:4" ht="20.149999999999999" customHeight="1">
      <c r="A41" s="97"/>
      <c r="B41" s="98"/>
      <c r="C41" s="98"/>
      <c r="D41" s="98"/>
    </row>
    <row r="42" spans="1:4" ht="20.149999999999999" customHeight="1">
      <c r="A42" s="97"/>
      <c r="B42" s="98"/>
      <c r="C42" s="98"/>
      <c r="D42" s="98"/>
    </row>
    <row r="43" spans="1:4" ht="20.149999999999999" customHeight="1">
      <c r="A43" s="97"/>
      <c r="B43" s="98"/>
      <c r="C43" s="98"/>
      <c r="D43" s="98"/>
    </row>
    <row r="44" spans="1:4" ht="20.149999999999999" customHeight="1">
      <c r="A44" s="97"/>
      <c r="B44" s="98"/>
      <c r="C44" s="98"/>
      <c r="D44" s="98"/>
    </row>
    <row r="45" spans="1:4" ht="20.149999999999999" customHeight="1">
      <c r="A45" s="97"/>
      <c r="B45" s="98"/>
      <c r="C45" s="98"/>
      <c r="D45" s="98"/>
    </row>
    <row r="46" spans="1:4" ht="20.149999999999999" customHeight="1">
      <c r="A46" s="97"/>
      <c r="B46" s="98"/>
      <c r="C46" s="98"/>
      <c r="D46" s="98"/>
    </row>
    <row r="47" spans="1:4" ht="20.149999999999999" customHeight="1">
      <c r="A47" s="97"/>
      <c r="B47" s="98"/>
      <c r="C47" s="98"/>
      <c r="D47" s="98"/>
    </row>
    <row r="48" spans="1:4" ht="20.149999999999999" customHeight="1">
      <c r="A48" s="97"/>
      <c r="B48" s="98"/>
      <c r="C48" s="98"/>
      <c r="D48" s="98"/>
    </row>
    <row r="49" spans="1:4" ht="20.149999999999999" customHeight="1">
      <c r="A49" s="97"/>
      <c r="B49" s="98"/>
      <c r="C49" s="98"/>
      <c r="D49" s="98"/>
    </row>
    <row r="50" spans="1:4" ht="20.149999999999999" customHeight="1">
      <c r="A50" s="97"/>
      <c r="B50" s="98"/>
      <c r="C50" s="98"/>
      <c r="D50" s="98"/>
    </row>
    <row r="51" spans="1:4" ht="20.149999999999999" customHeight="1">
      <c r="A51" s="97"/>
      <c r="B51" s="98"/>
      <c r="C51" s="98"/>
      <c r="D51" s="98"/>
    </row>
    <row r="52" spans="1:4" ht="20.149999999999999" customHeight="1">
      <c r="A52" s="97"/>
      <c r="B52" s="98"/>
      <c r="C52" s="98"/>
      <c r="D52" s="98"/>
    </row>
    <row r="53" spans="1:4" ht="20.149999999999999" customHeight="1">
      <c r="A53" s="97"/>
      <c r="B53" s="98"/>
      <c r="C53" s="98"/>
      <c r="D53" s="98"/>
    </row>
    <row r="54" spans="1:4" ht="20.149999999999999" customHeight="1">
      <c r="A54" s="97"/>
      <c r="B54" s="98"/>
      <c r="C54" s="98"/>
      <c r="D54" s="98"/>
    </row>
    <row r="55" spans="1:4" ht="20.149999999999999" customHeight="1">
      <c r="A55" s="97"/>
      <c r="B55" s="98"/>
      <c r="C55" s="98"/>
      <c r="D55" s="98"/>
    </row>
    <row r="56" spans="1:4" ht="20.149999999999999" customHeight="1">
      <c r="A56" s="97"/>
      <c r="B56" s="98"/>
      <c r="C56" s="98"/>
      <c r="D56" s="98"/>
    </row>
    <row r="57" spans="1:4" ht="20.149999999999999" customHeight="1">
      <c r="A57" s="97"/>
      <c r="B57" s="98"/>
      <c r="C57" s="98"/>
      <c r="D57" s="98"/>
    </row>
    <row r="58" spans="1:4" ht="20.149999999999999" customHeight="1">
      <c r="A58" s="97"/>
      <c r="B58" s="98"/>
      <c r="C58" s="98"/>
      <c r="D58" s="98"/>
    </row>
    <row r="59" spans="1:4" ht="20.149999999999999" customHeight="1">
      <c r="A59" s="97"/>
      <c r="B59" s="98"/>
      <c r="C59" s="98"/>
      <c r="D59" s="98"/>
    </row>
    <row r="60" spans="1:4" ht="20.149999999999999" customHeight="1">
      <c r="A60" s="97"/>
      <c r="B60" s="98"/>
      <c r="C60" s="98"/>
      <c r="D60" s="98"/>
    </row>
    <row r="61" spans="1:4" ht="20.149999999999999" customHeight="1">
      <c r="A61" s="97"/>
      <c r="B61" s="98"/>
      <c r="C61" s="98"/>
      <c r="D61" s="98"/>
    </row>
    <row r="62" spans="1:4" ht="20.149999999999999" customHeight="1">
      <c r="A62" s="97"/>
      <c r="B62" s="98"/>
      <c r="C62" s="98"/>
      <c r="D62" s="98"/>
    </row>
    <row r="63" spans="1:4" ht="20.149999999999999" customHeight="1">
      <c r="A63" s="97"/>
      <c r="B63" s="98"/>
      <c r="C63" s="98"/>
      <c r="D63" s="98"/>
    </row>
    <row r="64" spans="1:4" ht="20.149999999999999" customHeight="1">
      <c r="A64" s="97"/>
      <c r="B64" s="98"/>
      <c r="C64" s="98"/>
      <c r="D64" s="98"/>
    </row>
    <row r="65" spans="1:4" ht="20.149999999999999" customHeight="1">
      <c r="A65" s="97"/>
      <c r="B65" s="98"/>
      <c r="C65" s="98"/>
      <c r="D65" s="98"/>
    </row>
    <row r="66" spans="1:4" ht="20.149999999999999" customHeight="1">
      <c r="A66" s="97"/>
      <c r="B66" s="98"/>
      <c r="C66" s="98"/>
      <c r="D66" s="98"/>
    </row>
    <row r="67" spans="1:4" ht="20.149999999999999" customHeight="1">
      <c r="A67" s="97"/>
      <c r="B67" s="98"/>
      <c r="C67" s="98"/>
      <c r="D67" s="98"/>
    </row>
    <row r="68" spans="1:4" ht="20.149999999999999" customHeight="1">
      <c r="A68" s="97"/>
      <c r="B68" s="98"/>
      <c r="C68" s="98"/>
      <c r="D68" s="98"/>
    </row>
    <row r="69" spans="1:4" ht="20.149999999999999" customHeight="1">
      <c r="A69" s="97"/>
      <c r="B69" s="98"/>
      <c r="C69" s="98"/>
      <c r="D69" s="98"/>
    </row>
    <row r="70" spans="1:4" ht="20.149999999999999" customHeight="1">
      <c r="A70" s="97"/>
      <c r="B70" s="98"/>
      <c r="C70" s="98"/>
      <c r="D70" s="98"/>
    </row>
    <row r="71" spans="1:4" ht="20.149999999999999" customHeight="1">
      <c r="A71" s="97"/>
      <c r="B71" s="98"/>
      <c r="C71" s="98"/>
      <c r="D71" s="98"/>
    </row>
    <row r="72" spans="1:4" ht="20.149999999999999" customHeight="1">
      <c r="A72" s="97"/>
      <c r="B72" s="98"/>
      <c r="C72" s="98"/>
      <c r="D72" s="98"/>
    </row>
    <row r="73" spans="1:4" ht="20.149999999999999" customHeight="1">
      <c r="A73" s="97"/>
      <c r="B73" s="98"/>
      <c r="C73" s="98"/>
      <c r="D73" s="98"/>
    </row>
    <row r="74" spans="1:4" ht="20.149999999999999" customHeight="1">
      <c r="A74" s="97"/>
      <c r="B74" s="98"/>
      <c r="C74" s="98"/>
      <c r="D74" s="98"/>
    </row>
    <row r="75" spans="1:4" ht="20.149999999999999" customHeight="1">
      <c r="A75" s="97"/>
      <c r="B75" s="98"/>
      <c r="C75" s="98"/>
      <c r="D75" s="98"/>
    </row>
    <row r="76" spans="1:4" ht="20.149999999999999" customHeight="1">
      <c r="A76" s="97"/>
      <c r="B76" s="98"/>
      <c r="C76" s="98"/>
      <c r="D76" s="98"/>
    </row>
    <row r="77" spans="1:4" ht="20.149999999999999" customHeight="1">
      <c r="A77" s="97"/>
      <c r="B77" s="98"/>
      <c r="C77" s="98"/>
      <c r="D77" s="98"/>
    </row>
    <row r="78" spans="1:4" ht="20.149999999999999" customHeight="1">
      <c r="A78" s="97"/>
      <c r="B78" s="98"/>
      <c r="C78" s="98"/>
      <c r="D78" s="98"/>
    </row>
    <row r="79" spans="1:4" ht="20.149999999999999" customHeight="1">
      <c r="A79" s="97"/>
      <c r="B79" s="98"/>
      <c r="C79" s="98"/>
      <c r="D79" s="98"/>
    </row>
    <row r="80" spans="1:4" ht="20.149999999999999" customHeight="1">
      <c r="A80" s="97"/>
      <c r="B80" s="98"/>
      <c r="C80" s="98"/>
      <c r="D80" s="98"/>
    </row>
    <row r="81" spans="1:4" ht="20.149999999999999" customHeight="1">
      <c r="A81" s="97"/>
      <c r="B81" s="98"/>
      <c r="C81" s="98"/>
      <c r="D81" s="98"/>
    </row>
    <row r="82" spans="1:4" ht="20.149999999999999" customHeight="1">
      <c r="A82" s="97"/>
      <c r="B82" s="98"/>
      <c r="C82" s="98"/>
      <c r="D82" s="98"/>
    </row>
    <row r="83" spans="1:4" ht="20.149999999999999" customHeight="1">
      <c r="A83" s="97"/>
      <c r="B83" s="98"/>
      <c r="C83" s="98"/>
      <c r="D83" s="98"/>
    </row>
    <row r="84" spans="1:4" ht="20.149999999999999" customHeight="1">
      <c r="A84" s="97"/>
      <c r="B84" s="98"/>
      <c r="C84" s="98"/>
      <c r="D84" s="98"/>
    </row>
    <row r="85" spans="1:4" ht="20.149999999999999" customHeight="1">
      <c r="A85" s="97"/>
      <c r="B85" s="98"/>
      <c r="C85" s="98"/>
      <c r="D85" s="98"/>
    </row>
    <row r="86" spans="1:4" ht="20.149999999999999" customHeight="1">
      <c r="A86" s="97"/>
      <c r="B86" s="98"/>
      <c r="C86" s="98"/>
      <c r="D86" s="98"/>
    </row>
    <row r="87" spans="1:4" ht="20.149999999999999" customHeight="1">
      <c r="A87" s="97"/>
      <c r="B87" s="98"/>
      <c r="C87" s="98"/>
      <c r="D87" s="98"/>
    </row>
    <row r="88" spans="1:4" ht="20.149999999999999" customHeight="1">
      <c r="A88" s="97"/>
      <c r="B88" s="98"/>
      <c r="C88" s="98"/>
      <c r="D88" s="98"/>
    </row>
    <row r="89" spans="1:4" ht="20.149999999999999" customHeight="1">
      <c r="A89" s="97"/>
      <c r="B89" s="98"/>
      <c r="C89" s="98"/>
      <c r="D89" s="98"/>
    </row>
    <row r="90" spans="1:4" ht="20.149999999999999" customHeight="1">
      <c r="A90" s="97"/>
      <c r="B90" s="98"/>
      <c r="C90" s="98"/>
      <c r="D90" s="98"/>
    </row>
    <row r="91" spans="1:4" ht="20.149999999999999" customHeight="1">
      <c r="A91" s="97"/>
      <c r="B91" s="98"/>
      <c r="C91" s="98"/>
      <c r="D91" s="98"/>
    </row>
    <row r="92" spans="1:4" ht="20.149999999999999" customHeight="1">
      <c r="A92" s="97"/>
      <c r="B92" s="98"/>
      <c r="C92" s="98"/>
      <c r="D92" s="98"/>
    </row>
    <row r="93" spans="1:4" ht="20.149999999999999" customHeight="1">
      <c r="A93" s="97"/>
      <c r="B93" s="98"/>
      <c r="C93" s="98"/>
      <c r="D93" s="98"/>
    </row>
    <row r="94" spans="1:4" ht="20.149999999999999" customHeight="1">
      <c r="A94" s="97"/>
      <c r="B94" s="98"/>
      <c r="C94" s="98"/>
      <c r="D94" s="98"/>
    </row>
    <row r="95" spans="1:4" ht="20.149999999999999" customHeight="1">
      <c r="A95" s="97"/>
      <c r="B95" s="98"/>
      <c r="C95" s="98"/>
      <c r="D95" s="98"/>
    </row>
    <row r="96" spans="1:4" ht="20.149999999999999" customHeight="1">
      <c r="A96" s="97"/>
      <c r="B96" s="98"/>
      <c r="C96" s="98"/>
      <c r="D96" s="98"/>
    </row>
    <row r="97" spans="1:4" ht="20.149999999999999" customHeight="1">
      <c r="A97" s="97"/>
      <c r="B97" s="98"/>
      <c r="C97" s="98"/>
      <c r="D97" s="98"/>
    </row>
    <row r="98" spans="1:4" ht="20.149999999999999" customHeight="1">
      <c r="A98" s="97"/>
      <c r="B98" s="98"/>
      <c r="C98" s="98"/>
      <c r="D98" s="98"/>
    </row>
    <row r="99" spans="1:4" ht="20.149999999999999" customHeight="1">
      <c r="A99" s="97"/>
      <c r="B99" s="98"/>
      <c r="C99" s="98"/>
      <c r="D99" s="98"/>
    </row>
    <row r="100" spans="1:4" ht="20.149999999999999" customHeight="1">
      <c r="A100" s="97"/>
      <c r="B100" s="98"/>
      <c r="C100" s="98"/>
      <c r="D100" s="98"/>
    </row>
    <row r="101" spans="1:4" ht="20.149999999999999" customHeight="1">
      <c r="A101" s="97"/>
      <c r="B101" s="98"/>
      <c r="C101" s="98"/>
      <c r="D101" s="98"/>
    </row>
    <row r="102" spans="1:4" ht="20.149999999999999" customHeight="1">
      <c r="A102" s="97"/>
      <c r="B102" s="98"/>
      <c r="C102" s="98"/>
      <c r="D102" s="98"/>
    </row>
    <row r="103" spans="1:4" ht="20.149999999999999" customHeight="1">
      <c r="A103" s="97"/>
      <c r="B103" s="98"/>
      <c r="C103" s="98"/>
      <c r="D103" s="98"/>
    </row>
    <row r="104" spans="1:4" ht="20.149999999999999" customHeight="1">
      <c r="A104" s="97"/>
      <c r="B104" s="98"/>
      <c r="C104" s="98"/>
      <c r="D104" s="98"/>
    </row>
    <row r="105" spans="1:4" ht="20.149999999999999" customHeight="1">
      <c r="A105" s="97"/>
      <c r="B105" s="98"/>
      <c r="C105" s="98"/>
      <c r="D105" s="98"/>
    </row>
    <row r="106" spans="1:4" ht="20.149999999999999" customHeight="1">
      <c r="A106" s="97"/>
      <c r="B106" s="98"/>
      <c r="C106" s="98"/>
      <c r="D106" s="98"/>
    </row>
    <row r="107" spans="1:4" ht="20.149999999999999" customHeight="1">
      <c r="A107" s="97"/>
      <c r="B107" s="98"/>
      <c r="C107" s="98"/>
      <c r="D107" s="98"/>
    </row>
    <row r="108" spans="1:4" ht="20.149999999999999" customHeight="1">
      <c r="A108" s="97"/>
      <c r="B108" s="98"/>
      <c r="C108" s="98"/>
      <c r="D108" s="98"/>
    </row>
    <row r="109" spans="1:4" ht="20.149999999999999" customHeight="1">
      <c r="A109" s="97"/>
      <c r="B109" s="98"/>
      <c r="C109" s="98"/>
      <c r="D109" s="98"/>
    </row>
    <row r="110" spans="1:4" ht="20.149999999999999" customHeight="1">
      <c r="A110" s="97"/>
      <c r="B110" s="98"/>
      <c r="C110" s="98"/>
      <c r="D110" s="98"/>
    </row>
    <row r="111" spans="1:4" ht="20.149999999999999" customHeight="1">
      <c r="A111" s="97"/>
      <c r="B111" s="98"/>
      <c r="C111" s="98"/>
      <c r="D111" s="98"/>
    </row>
    <row r="112" spans="1:4" ht="20.149999999999999" customHeight="1">
      <c r="A112" s="97"/>
      <c r="B112" s="98"/>
      <c r="C112" s="98"/>
      <c r="D112" s="98"/>
    </row>
    <row r="113" spans="1:4" ht="20.149999999999999" customHeight="1">
      <c r="A113" s="97"/>
      <c r="B113" s="98"/>
      <c r="C113" s="98"/>
      <c r="D113" s="98"/>
    </row>
    <row r="114" spans="1:4" ht="20.149999999999999" customHeight="1">
      <c r="A114" s="97"/>
      <c r="B114" s="98"/>
      <c r="C114" s="98"/>
      <c r="D114" s="98"/>
    </row>
    <row r="115" spans="1:4" ht="20.149999999999999" customHeight="1">
      <c r="A115" s="97"/>
      <c r="B115" s="98"/>
      <c r="C115" s="98"/>
      <c r="D115" s="98"/>
    </row>
    <row r="116" spans="1:4" ht="20.149999999999999" customHeight="1">
      <c r="A116" s="97"/>
      <c r="B116" s="98"/>
      <c r="C116" s="98"/>
      <c r="D116" s="98"/>
    </row>
    <row r="117" spans="1:4" ht="20.149999999999999" customHeight="1">
      <c r="A117" s="97"/>
      <c r="B117" s="98"/>
      <c r="C117" s="98"/>
      <c r="D117" s="98"/>
    </row>
    <row r="118" spans="1:4" ht="20.149999999999999" customHeight="1">
      <c r="A118" s="97"/>
      <c r="B118" s="98"/>
      <c r="C118" s="98"/>
      <c r="D118" s="98"/>
    </row>
    <row r="119" spans="1:4" ht="20.149999999999999" customHeight="1">
      <c r="A119" s="97"/>
      <c r="B119" s="98"/>
      <c r="C119" s="98"/>
      <c r="D119" s="98"/>
    </row>
    <row r="120" spans="1:4" ht="20.149999999999999" customHeight="1">
      <c r="A120" s="97"/>
      <c r="B120" s="98"/>
      <c r="C120" s="98"/>
      <c r="D120" s="98"/>
    </row>
    <row r="121" spans="1:4" ht="20.149999999999999" customHeight="1">
      <c r="A121" s="97"/>
      <c r="B121" s="98"/>
      <c r="C121" s="98"/>
      <c r="D121" s="98"/>
    </row>
    <row r="122" spans="1:4" ht="20.149999999999999" customHeight="1">
      <c r="A122" s="97"/>
      <c r="B122" s="98"/>
      <c r="C122" s="98"/>
      <c r="D122" s="98"/>
    </row>
  </sheetData>
  <phoneticPr fontId="2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B7E4E-BF69-44B2-A6BC-504ADD6E4DBB}">
  <sheetPr>
    <tabColor theme="5" tint="0.79998168889431442"/>
  </sheetPr>
  <dimension ref="B1:H9"/>
  <sheetViews>
    <sheetView showGridLines="0" zoomScaleNormal="100" workbookViewId="0"/>
  </sheetViews>
  <sheetFormatPr defaultColWidth="9" defaultRowHeight="18" customHeight="1"/>
  <cols>
    <col min="1" max="1" width="3.58203125" style="104" customWidth="1"/>
    <col min="2" max="2" width="22.25" style="104" bestFit="1" customWidth="1"/>
    <col min="3" max="4" width="12.58203125" style="170" customWidth="1"/>
    <col min="5" max="5" width="3.58203125" style="170" customWidth="1"/>
    <col min="6" max="7" width="12.58203125" style="170" customWidth="1"/>
    <col min="8" max="8" width="17" style="170" customWidth="1"/>
    <col min="9" max="16384" width="9" style="104"/>
  </cols>
  <sheetData>
    <row r="1" spans="2:8" ht="18" customHeight="1">
      <c r="B1" s="351" t="s">
        <v>338</v>
      </c>
    </row>
    <row r="2" spans="2:8" ht="18" customHeight="1" thickBot="1"/>
    <row r="3" spans="2:8" ht="18" customHeight="1">
      <c r="B3" s="3" t="s">
        <v>251</v>
      </c>
      <c r="C3" s="3"/>
      <c r="D3" s="3"/>
      <c r="E3" s="3"/>
      <c r="F3" s="3"/>
      <c r="G3" s="3"/>
      <c r="H3" s="3"/>
    </row>
    <row r="4" spans="2:8" ht="18" customHeight="1">
      <c r="B4" s="171"/>
      <c r="C4" s="363" t="s">
        <v>301</v>
      </c>
      <c r="D4" s="8"/>
      <c r="E4" s="171"/>
      <c r="F4" s="364" t="s">
        <v>302</v>
      </c>
      <c r="G4" s="8"/>
      <c r="H4" s="8"/>
    </row>
    <row r="5" spans="2:8" ht="18" customHeight="1">
      <c r="B5" s="171"/>
      <c r="C5" s="9" t="s">
        <v>252</v>
      </c>
      <c r="D5" s="8"/>
      <c r="E5" s="8"/>
      <c r="F5" s="8" t="s">
        <v>253</v>
      </c>
      <c r="G5" s="9" t="s">
        <v>254</v>
      </c>
      <c r="H5" s="8"/>
    </row>
    <row r="6" spans="2:8" ht="18" customHeight="1">
      <c r="B6" s="321" t="s">
        <v>255</v>
      </c>
      <c r="C6" s="174">
        <f>FIND("部",B6)</f>
        <v>3</v>
      </c>
      <c r="D6" s="322" t="str">
        <f>LEFT(B6,C6)</f>
        <v>営業部</v>
      </c>
      <c r="E6" s="186"/>
      <c r="F6" s="174">
        <f>C6+1</f>
        <v>4</v>
      </c>
      <c r="G6" s="174">
        <f>LEN(B6)-C6</f>
        <v>5</v>
      </c>
      <c r="H6" s="322" t="str">
        <f>MID(B6,F6,G6)</f>
        <v>東京チーム</v>
      </c>
    </row>
    <row r="7" spans="2:8" ht="18" customHeight="1">
      <c r="B7" s="327" t="s">
        <v>256</v>
      </c>
      <c r="C7" s="174">
        <f t="shared" ref="C7:C9" si="0">FIND("部",B7)</f>
        <v>5</v>
      </c>
      <c r="D7" s="322" t="str">
        <f t="shared" ref="D7:D9" si="1">LEFT(B7,C7)</f>
        <v>海外営業部</v>
      </c>
      <c r="E7" s="186"/>
      <c r="F7" s="174">
        <f t="shared" ref="F7:F9" si="2">C7+1</f>
        <v>6</v>
      </c>
      <c r="G7" s="174">
        <f t="shared" ref="G7:G9" si="3">LEN(B7)-C7</f>
        <v>6</v>
      </c>
      <c r="H7" s="322" t="str">
        <f t="shared" ref="H7:H9" si="4">MID(B7,F7,G7)</f>
        <v>アジアチーム</v>
      </c>
    </row>
    <row r="8" spans="2:8" ht="18" customHeight="1">
      <c r="B8" s="327" t="s">
        <v>257</v>
      </c>
      <c r="C8" s="174">
        <f t="shared" si="0"/>
        <v>3</v>
      </c>
      <c r="D8" s="322" t="str">
        <f t="shared" si="1"/>
        <v>人事部</v>
      </c>
      <c r="E8" s="186"/>
      <c r="F8" s="174">
        <f t="shared" si="2"/>
        <v>4</v>
      </c>
      <c r="G8" s="174">
        <f t="shared" si="3"/>
        <v>5</v>
      </c>
      <c r="H8" s="322" t="str">
        <f t="shared" si="4"/>
        <v>労務チーム</v>
      </c>
    </row>
    <row r="9" spans="2:8" ht="18" customHeight="1" thickBot="1">
      <c r="B9" s="328" t="s">
        <v>258</v>
      </c>
      <c r="C9" s="177">
        <f t="shared" si="0"/>
        <v>3</v>
      </c>
      <c r="D9" s="329" t="str">
        <f t="shared" si="1"/>
        <v>経理部</v>
      </c>
      <c r="E9" s="188"/>
      <c r="F9" s="177">
        <f t="shared" si="2"/>
        <v>4</v>
      </c>
      <c r="G9" s="177">
        <f t="shared" si="3"/>
        <v>7</v>
      </c>
      <c r="H9" s="329" t="str">
        <f t="shared" si="4"/>
        <v>税金担当チーム</v>
      </c>
    </row>
  </sheetData>
  <phoneticPr fontId="2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64F33-0944-4D48-9945-98E67FBC8D15}">
  <sheetPr>
    <tabColor theme="5" tint="0.79998168889431442"/>
  </sheetPr>
  <dimension ref="B1:F8"/>
  <sheetViews>
    <sheetView showGridLines="0" zoomScaleNormal="100" workbookViewId="0"/>
  </sheetViews>
  <sheetFormatPr defaultColWidth="9" defaultRowHeight="18" customHeight="1"/>
  <cols>
    <col min="1" max="1" width="3.58203125" style="104" customWidth="1"/>
    <col min="2" max="2" width="12.25" style="104" customWidth="1"/>
    <col min="3" max="5" width="9" style="104"/>
    <col min="6" max="6" width="10.5" style="104" bestFit="1" customWidth="1"/>
    <col min="7" max="16384" width="9" style="104"/>
  </cols>
  <sheetData>
    <row r="1" spans="2:6" ht="18" customHeight="1">
      <c r="B1" s="351" t="s">
        <v>300</v>
      </c>
    </row>
    <row r="2" spans="2:6" ht="18" customHeight="1" thickBot="1"/>
    <row r="3" spans="2:6" ht="18" customHeight="1">
      <c r="B3" s="289" t="s">
        <v>247</v>
      </c>
      <c r="C3" s="289" t="s">
        <v>248</v>
      </c>
      <c r="D3" s="289" t="s">
        <v>168</v>
      </c>
      <c r="E3" s="289" t="s">
        <v>249</v>
      </c>
      <c r="F3" s="289" t="s">
        <v>250</v>
      </c>
    </row>
    <row r="4" spans="2:6" ht="18" customHeight="1">
      <c r="B4" s="323">
        <v>20260515</v>
      </c>
      <c r="C4" s="324" t="str">
        <f>MID(B4,1,4)</f>
        <v>2026</v>
      </c>
      <c r="D4" s="324" t="str">
        <f>MID(B4,5,2)</f>
        <v>05</v>
      </c>
      <c r="E4" s="324" t="str">
        <f>MID(B4,7,2)</f>
        <v>15</v>
      </c>
      <c r="F4" s="255">
        <f>DATE(C4,D4,E4)</f>
        <v>46157</v>
      </c>
    </row>
    <row r="5" spans="2:6" ht="18" customHeight="1">
      <c r="B5" s="323">
        <v>20260830</v>
      </c>
      <c r="C5" s="324" t="str">
        <f t="shared" ref="C5:C8" si="0">MID(B5,1,4)</f>
        <v>2026</v>
      </c>
      <c r="D5" s="324" t="str">
        <f t="shared" ref="D5:D8" si="1">MID(B5,5,2)</f>
        <v>08</v>
      </c>
      <c r="E5" s="324" t="str">
        <f t="shared" ref="E5:E8" si="2">MID(B5,7,2)</f>
        <v>30</v>
      </c>
      <c r="F5" s="255">
        <f t="shared" ref="F5:F8" si="3">DATE(C5,D5,E5)</f>
        <v>46264</v>
      </c>
    </row>
    <row r="6" spans="2:6" ht="18" customHeight="1">
      <c r="B6" s="323">
        <v>20261125</v>
      </c>
      <c r="C6" s="324" t="str">
        <f t="shared" si="0"/>
        <v>2026</v>
      </c>
      <c r="D6" s="324" t="str">
        <f t="shared" si="1"/>
        <v>11</v>
      </c>
      <c r="E6" s="324" t="str">
        <f t="shared" si="2"/>
        <v>25</v>
      </c>
      <c r="F6" s="255">
        <f t="shared" si="3"/>
        <v>46351</v>
      </c>
    </row>
    <row r="7" spans="2:6" ht="18" customHeight="1">
      <c r="B7" s="323">
        <v>20261105</v>
      </c>
      <c r="C7" s="324" t="str">
        <f t="shared" si="0"/>
        <v>2026</v>
      </c>
      <c r="D7" s="324" t="str">
        <f t="shared" si="1"/>
        <v>11</v>
      </c>
      <c r="E7" s="324" t="str">
        <f t="shared" si="2"/>
        <v>05</v>
      </c>
      <c r="F7" s="255">
        <f t="shared" si="3"/>
        <v>46331</v>
      </c>
    </row>
    <row r="8" spans="2:6" ht="18" customHeight="1" thickBot="1">
      <c r="B8" s="325">
        <v>20261231</v>
      </c>
      <c r="C8" s="326" t="str">
        <f t="shared" si="0"/>
        <v>2026</v>
      </c>
      <c r="D8" s="326" t="str">
        <f t="shared" si="1"/>
        <v>12</v>
      </c>
      <c r="E8" s="326" t="str">
        <f t="shared" si="2"/>
        <v>31</v>
      </c>
      <c r="F8" s="258">
        <f t="shared" si="3"/>
        <v>46387</v>
      </c>
    </row>
  </sheetData>
  <phoneticPr fontId="2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C34BF-8E3E-4550-A1DA-89C914C6F15E}">
  <sheetPr>
    <tabColor theme="5" tint="0.79998168889431442"/>
  </sheetPr>
  <dimension ref="B1:L1465"/>
  <sheetViews>
    <sheetView showGridLines="0" zoomScaleNormal="100" workbookViewId="0"/>
  </sheetViews>
  <sheetFormatPr defaultColWidth="9" defaultRowHeight="18" customHeight="1"/>
  <cols>
    <col min="1" max="1" width="3.58203125" style="38" customWidth="1"/>
    <col min="2" max="2" width="10.5" style="262" customWidth="1"/>
    <col min="3" max="3" width="5.5" style="104" customWidth="1"/>
    <col min="4" max="5" width="5.58203125" style="104" customWidth="1"/>
    <col min="6" max="6" width="9" style="39"/>
    <col min="7" max="7" width="3.83203125" style="39" customWidth="1"/>
    <col min="8" max="8" width="3.33203125" style="39" bestFit="1" customWidth="1"/>
    <col min="9" max="9" width="6" style="39" bestFit="1" customWidth="1"/>
    <col min="10" max="12" width="11.08203125" style="39" customWidth="1"/>
    <col min="13" max="13" width="10.1640625" style="38" bestFit="1" customWidth="1"/>
    <col min="14" max="16384" width="9" style="38"/>
  </cols>
  <sheetData>
    <row r="1" spans="2:12" ht="19.5" customHeight="1">
      <c r="B1" s="355" t="s">
        <v>290</v>
      </c>
      <c r="E1" s="230"/>
    </row>
    <row r="2" spans="2:12" ht="18" customHeight="1" thickBot="1"/>
    <row r="3" spans="2:12" ht="18" customHeight="1">
      <c r="B3" s="263" t="s">
        <v>183</v>
      </c>
      <c r="C3" s="4"/>
      <c r="D3" s="4"/>
      <c r="E3" s="4"/>
      <c r="F3" s="264"/>
      <c r="H3" s="265" t="s">
        <v>224</v>
      </c>
      <c r="I3" s="264"/>
      <c r="J3" s="264"/>
      <c r="K3" s="264"/>
      <c r="L3" s="264"/>
    </row>
    <row r="4" spans="2:12" ht="18" customHeight="1">
      <c r="B4" s="266"/>
      <c r="C4" s="237" t="s">
        <v>289</v>
      </c>
      <c r="D4" s="237" t="s">
        <v>287</v>
      </c>
      <c r="E4" s="237" t="s">
        <v>288</v>
      </c>
      <c r="F4" s="267" t="s">
        <v>226</v>
      </c>
      <c r="H4" s="268"/>
      <c r="I4" s="269"/>
      <c r="J4" s="267" t="s">
        <v>225</v>
      </c>
      <c r="K4" s="267"/>
      <c r="L4" s="267"/>
    </row>
    <row r="5" spans="2:12" ht="18" customHeight="1">
      <c r="B5" s="242">
        <v>44927</v>
      </c>
      <c r="C5" s="123">
        <f>YEAR(B5)</f>
        <v>2023</v>
      </c>
      <c r="D5" s="123">
        <f>MONTH(B5)</f>
        <v>1</v>
      </c>
      <c r="E5" s="123">
        <f>DAY(B5)</f>
        <v>1</v>
      </c>
      <c r="F5" s="270">
        <v>5158</v>
      </c>
      <c r="H5" s="271"/>
      <c r="I5" s="267"/>
      <c r="J5" s="272">
        <v>1</v>
      </c>
      <c r="K5" s="272">
        <v>2</v>
      </c>
      <c r="L5" s="272">
        <v>3</v>
      </c>
    </row>
    <row r="6" spans="2:12" ht="18" customHeight="1">
      <c r="B6" s="242">
        <f>+B5+1</f>
        <v>44928</v>
      </c>
      <c r="C6" s="123">
        <f t="shared" ref="C6:C69" si="0">YEAR(B6)</f>
        <v>2023</v>
      </c>
      <c r="D6" s="123">
        <f t="shared" ref="D6:D69" si="1">MONTH(B6)</f>
        <v>1</v>
      </c>
      <c r="E6" s="123">
        <f t="shared" ref="E6:E69" si="2">DAY(B6)</f>
        <v>2</v>
      </c>
      <c r="F6" s="270">
        <v>9716</v>
      </c>
      <c r="H6" s="273" t="s">
        <v>227</v>
      </c>
      <c r="I6" s="274">
        <v>2023</v>
      </c>
      <c r="J6" s="20">
        <f>SUMIFS($F:$F,$C:$C,$I6,$D:$D,J$5)</f>
        <v>177016</v>
      </c>
      <c r="K6" s="20">
        <f t="shared" ref="K6:L9" si="3">SUMIFS($F:$F,$C:$C,$I6,$D:$D,K$5)</f>
        <v>177702</v>
      </c>
      <c r="L6" s="20">
        <f t="shared" si="3"/>
        <v>197571</v>
      </c>
    </row>
    <row r="7" spans="2:12" ht="18" customHeight="1">
      <c r="B7" s="242">
        <f t="shared" ref="B7:B70" si="4">+B6+1</f>
        <v>44929</v>
      </c>
      <c r="C7" s="123">
        <f t="shared" si="0"/>
        <v>2023</v>
      </c>
      <c r="D7" s="123">
        <f t="shared" si="1"/>
        <v>1</v>
      </c>
      <c r="E7" s="123">
        <f t="shared" si="2"/>
        <v>3</v>
      </c>
      <c r="F7" s="270">
        <v>8725</v>
      </c>
      <c r="H7" s="275"/>
      <c r="I7" s="274">
        <v>2024</v>
      </c>
      <c r="J7" s="20">
        <f t="shared" ref="J7:J9" si="5">SUMIFS($F:$F,$C:$C,$I7,$D:$D,J$5)</f>
        <v>206385</v>
      </c>
      <c r="K7" s="20">
        <f t="shared" si="3"/>
        <v>202301</v>
      </c>
      <c r="L7" s="20">
        <f t="shared" si="3"/>
        <v>197212</v>
      </c>
    </row>
    <row r="8" spans="2:12" ht="18" customHeight="1">
      <c r="B8" s="242">
        <f t="shared" si="4"/>
        <v>44930</v>
      </c>
      <c r="C8" s="123">
        <f t="shared" si="0"/>
        <v>2023</v>
      </c>
      <c r="D8" s="123">
        <f t="shared" si="1"/>
        <v>1</v>
      </c>
      <c r="E8" s="123">
        <f t="shared" si="2"/>
        <v>4</v>
      </c>
      <c r="F8" s="270">
        <v>3073</v>
      </c>
      <c r="H8" s="275"/>
      <c r="I8" s="274">
        <v>2025</v>
      </c>
      <c r="J8" s="20">
        <f t="shared" si="5"/>
        <v>206999</v>
      </c>
      <c r="K8" s="20">
        <f t="shared" si="3"/>
        <v>179138</v>
      </c>
      <c r="L8" s="20">
        <f t="shared" si="3"/>
        <v>218951</v>
      </c>
    </row>
    <row r="9" spans="2:12" ht="18" customHeight="1" thickBot="1">
      <c r="B9" s="242">
        <f t="shared" si="4"/>
        <v>44931</v>
      </c>
      <c r="C9" s="123">
        <f t="shared" si="0"/>
        <v>2023</v>
      </c>
      <c r="D9" s="123">
        <f t="shared" si="1"/>
        <v>1</v>
      </c>
      <c r="E9" s="123">
        <f t="shared" si="2"/>
        <v>5</v>
      </c>
      <c r="F9" s="270">
        <v>4749</v>
      </c>
      <c r="H9" s="276"/>
      <c r="I9" s="277">
        <v>2026</v>
      </c>
      <c r="J9" s="147">
        <f t="shared" si="5"/>
        <v>186867</v>
      </c>
      <c r="K9" s="147">
        <f t="shared" si="3"/>
        <v>168075</v>
      </c>
      <c r="L9" s="147">
        <f t="shared" si="3"/>
        <v>190226</v>
      </c>
    </row>
    <row r="10" spans="2:12" ht="18" customHeight="1">
      <c r="B10" s="242">
        <f t="shared" si="4"/>
        <v>44932</v>
      </c>
      <c r="C10" s="123">
        <f t="shared" si="0"/>
        <v>2023</v>
      </c>
      <c r="D10" s="123">
        <f t="shared" si="1"/>
        <v>1</v>
      </c>
      <c r="E10" s="123">
        <f t="shared" si="2"/>
        <v>6</v>
      </c>
      <c r="F10" s="270">
        <v>1315</v>
      </c>
    </row>
    <row r="11" spans="2:12" ht="18" customHeight="1">
      <c r="B11" s="242">
        <f t="shared" si="4"/>
        <v>44933</v>
      </c>
      <c r="C11" s="123">
        <f t="shared" si="0"/>
        <v>2023</v>
      </c>
      <c r="D11" s="123">
        <f t="shared" si="1"/>
        <v>1</v>
      </c>
      <c r="E11" s="123">
        <f t="shared" si="2"/>
        <v>7</v>
      </c>
      <c r="F11" s="270">
        <v>10587</v>
      </c>
    </row>
    <row r="12" spans="2:12" ht="18" customHeight="1">
      <c r="B12" s="242">
        <f t="shared" si="4"/>
        <v>44934</v>
      </c>
      <c r="C12" s="123">
        <f t="shared" si="0"/>
        <v>2023</v>
      </c>
      <c r="D12" s="123">
        <f t="shared" si="1"/>
        <v>1</v>
      </c>
      <c r="E12" s="123">
        <f t="shared" si="2"/>
        <v>8</v>
      </c>
      <c r="F12" s="270">
        <v>2947</v>
      </c>
    </row>
    <row r="13" spans="2:12" ht="18" customHeight="1">
      <c r="B13" s="242">
        <f t="shared" si="4"/>
        <v>44935</v>
      </c>
      <c r="C13" s="123">
        <f t="shared" si="0"/>
        <v>2023</v>
      </c>
      <c r="D13" s="123">
        <f t="shared" si="1"/>
        <v>1</v>
      </c>
      <c r="E13" s="123">
        <f t="shared" si="2"/>
        <v>9</v>
      </c>
      <c r="F13" s="270">
        <v>5426</v>
      </c>
    </row>
    <row r="14" spans="2:12" ht="18" customHeight="1">
      <c r="B14" s="242">
        <f t="shared" si="4"/>
        <v>44936</v>
      </c>
      <c r="C14" s="123">
        <f t="shared" si="0"/>
        <v>2023</v>
      </c>
      <c r="D14" s="123">
        <f t="shared" si="1"/>
        <v>1</v>
      </c>
      <c r="E14" s="123">
        <f t="shared" si="2"/>
        <v>10</v>
      </c>
      <c r="F14" s="270">
        <v>10362</v>
      </c>
    </row>
    <row r="15" spans="2:12" ht="18" customHeight="1">
      <c r="B15" s="242">
        <f t="shared" si="4"/>
        <v>44937</v>
      </c>
      <c r="C15" s="123">
        <f t="shared" si="0"/>
        <v>2023</v>
      </c>
      <c r="D15" s="123">
        <f t="shared" si="1"/>
        <v>1</v>
      </c>
      <c r="E15" s="123">
        <f t="shared" si="2"/>
        <v>11</v>
      </c>
      <c r="F15" s="270">
        <v>1407</v>
      </c>
    </row>
    <row r="16" spans="2:12" ht="18" customHeight="1">
      <c r="B16" s="242">
        <f t="shared" si="4"/>
        <v>44938</v>
      </c>
      <c r="C16" s="123">
        <f t="shared" si="0"/>
        <v>2023</v>
      </c>
      <c r="D16" s="123">
        <f t="shared" si="1"/>
        <v>1</v>
      </c>
      <c r="E16" s="123">
        <f t="shared" si="2"/>
        <v>12</v>
      </c>
      <c r="F16" s="270">
        <v>5190</v>
      </c>
    </row>
    <row r="17" spans="2:6" ht="18" customHeight="1">
      <c r="B17" s="242">
        <f t="shared" si="4"/>
        <v>44939</v>
      </c>
      <c r="C17" s="123">
        <f t="shared" si="0"/>
        <v>2023</v>
      </c>
      <c r="D17" s="123">
        <f t="shared" si="1"/>
        <v>1</v>
      </c>
      <c r="E17" s="123">
        <f t="shared" si="2"/>
        <v>13</v>
      </c>
      <c r="F17" s="270">
        <v>10277</v>
      </c>
    </row>
    <row r="18" spans="2:6" ht="18" customHeight="1">
      <c r="B18" s="242">
        <f t="shared" si="4"/>
        <v>44940</v>
      </c>
      <c r="C18" s="123">
        <f t="shared" si="0"/>
        <v>2023</v>
      </c>
      <c r="D18" s="123">
        <f t="shared" si="1"/>
        <v>1</v>
      </c>
      <c r="E18" s="123">
        <f t="shared" si="2"/>
        <v>14</v>
      </c>
      <c r="F18" s="270">
        <v>5436</v>
      </c>
    </row>
    <row r="19" spans="2:6" ht="18" customHeight="1">
      <c r="B19" s="242">
        <f t="shared" si="4"/>
        <v>44941</v>
      </c>
      <c r="C19" s="123">
        <f t="shared" si="0"/>
        <v>2023</v>
      </c>
      <c r="D19" s="123">
        <f t="shared" si="1"/>
        <v>1</v>
      </c>
      <c r="E19" s="123">
        <f t="shared" si="2"/>
        <v>15</v>
      </c>
      <c r="F19" s="270">
        <v>5463</v>
      </c>
    </row>
    <row r="20" spans="2:6" ht="18" customHeight="1">
      <c r="B20" s="242">
        <f t="shared" si="4"/>
        <v>44942</v>
      </c>
      <c r="C20" s="123">
        <f t="shared" si="0"/>
        <v>2023</v>
      </c>
      <c r="D20" s="123">
        <f t="shared" si="1"/>
        <v>1</v>
      </c>
      <c r="E20" s="123">
        <f t="shared" si="2"/>
        <v>16</v>
      </c>
      <c r="F20" s="270">
        <v>4779</v>
      </c>
    </row>
    <row r="21" spans="2:6" ht="18" customHeight="1">
      <c r="B21" s="242">
        <f t="shared" si="4"/>
        <v>44943</v>
      </c>
      <c r="C21" s="123">
        <f t="shared" si="0"/>
        <v>2023</v>
      </c>
      <c r="D21" s="123">
        <f t="shared" si="1"/>
        <v>1</v>
      </c>
      <c r="E21" s="123">
        <f t="shared" si="2"/>
        <v>17</v>
      </c>
      <c r="F21" s="270">
        <v>8445</v>
      </c>
    </row>
    <row r="22" spans="2:6" ht="18" customHeight="1">
      <c r="B22" s="242">
        <f t="shared" si="4"/>
        <v>44944</v>
      </c>
      <c r="C22" s="123">
        <f t="shared" si="0"/>
        <v>2023</v>
      </c>
      <c r="D22" s="123">
        <f t="shared" si="1"/>
        <v>1</v>
      </c>
      <c r="E22" s="123">
        <f t="shared" si="2"/>
        <v>18</v>
      </c>
      <c r="F22" s="270">
        <v>8511</v>
      </c>
    </row>
    <row r="23" spans="2:6" ht="18" customHeight="1">
      <c r="B23" s="242">
        <f t="shared" si="4"/>
        <v>44945</v>
      </c>
      <c r="C23" s="123">
        <f t="shared" si="0"/>
        <v>2023</v>
      </c>
      <c r="D23" s="123">
        <f t="shared" si="1"/>
        <v>1</v>
      </c>
      <c r="E23" s="123">
        <f t="shared" si="2"/>
        <v>19</v>
      </c>
      <c r="F23" s="270">
        <v>3993</v>
      </c>
    </row>
    <row r="24" spans="2:6" ht="18" customHeight="1">
      <c r="B24" s="242">
        <f t="shared" si="4"/>
        <v>44946</v>
      </c>
      <c r="C24" s="123">
        <f t="shared" si="0"/>
        <v>2023</v>
      </c>
      <c r="D24" s="123">
        <f t="shared" si="1"/>
        <v>1</v>
      </c>
      <c r="E24" s="123">
        <f t="shared" si="2"/>
        <v>20</v>
      </c>
      <c r="F24" s="270">
        <v>9203</v>
      </c>
    </row>
    <row r="25" spans="2:6" ht="18" customHeight="1">
      <c r="B25" s="242">
        <f t="shared" si="4"/>
        <v>44947</v>
      </c>
      <c r="C25" s="123">
        <f t="shared" si="0"/>
        <v>2023</v>
      </c>
      <c r="D25" s="123">
        <f t="shared" si="1"/>
        <v>1</v>
      </c>
      <c r="E25" s="123">
        <f t="shared" si="2"/>
        <v>21</v>
      </c>
      <c r="F25" s="270">
        <v>2247</v>
      </c>
    </row>
    <row r="26" spans="2:6" ht="18" customHeight="1">
      <c r="B26" s="242">
        <f t="shared" si="4"/>
        <v>44948</v>
      </c>
      <c r="C26" s="123">
        <f t="shared" si="0"/>
        <v>2023</v>
      </c>
      <c r="D26" s="123">
        <f t="shared" si="1"/>
        <v>1</v>
      </c>
      <c r="E26" s="123">
        <f t="shared" si="2"/>
        <v>22</v>
      </c>
      <c r="F26" s="270">
        <v>9881</v>
      </c>
    </row>
    <row r="27" spans="2:6" ht="18" customHeight="1">
      <c r="B27" s="242">
        <f t="shared" si="4"/>
        <v>44949</v>
      </c>
      <c r="C27" s="123">
        <f t="shared" si="0"/>
        <v>2023</v>
      </c>
      <c r="D27" s="123">
        <f t="shared" si="1"/>
        <v>1</v>
      </c>
      <c r="E27" s="123">
        <f t="shared" si="2"/>
        <v>23</v>
      </c>
      <c r="F27" s="270">
        <v>4930</v>
      </c>
    </row>
    <row r="28" spans="2:6" ht="18" customHeight="1">
      <c r="B28" s="242">
        <f t="shared" si="4"/>
        <v>44950</v>
      </c>
      <c r="C28" s="123">
        <f t="shared" si="0"/>
        <v>2023</v>
      </c>
      <c r="D28" s="123">
        <f t="shared" si="1"/>
        <v>1</v>
      </c>
      <c r="E28" s="123">
        <f t="shared" si="2"/>
        <v>24</v>
      </c>
      <c r="F28" s="270">
        <v>8881</v>
      </c>
    </row>
    <row r="29" spans="2:6" ht="18" customHeight="1">
      <c r="B29" s="242">
        <f t="shared" si="4"/>
        <v>44951</v>
      </c>
      <c r="C29" s="123">
        <f t="shared" si="0"/>
        <v>2023</v>
      </c>
      <c r="D29" s="123">
        <f t="shared" si="1"/>
        <v>1</v>
      </c>
      <c r="E29" s="123">
        <f t="shared" si="2"/>
        <v>25</v>
      </c>
      <c r="F29" s="270">
        <v>2361</v>
      </c>
    </row>
    <row r="30" spans="2:6" ht="18" customHeight="1">
      <c r="B30" s="242">
        <f t="shared" si="4"/>
        <v>44952</v>
      </c>
      <c r="C30" s="123">
        <f t="shared" si="0"/>
        <v>2023</v>
      </c>
      <c r="D30" s="123">
        <f t="shared" si="1"/>
        <v>1</v>
      </c>
      <c r="E30" s="123">
        <f t="shared" si="2"/>
        <v>26</v>
      </c>
      <c r="F30" s="270">
        <v>5505</v>
      </c>
    </row>
    <row r="31" spans="2:6" ht="18" customHeight="1">
      <c r="B31" s="242">
        <f t="shared" si="4"/>
        <v>44953</v>
      </c>
      <c r="C31" s="123">
        <f t="shared" si="0"/>
        <v>2023</v>
      </c>
      <c r="D31" s="123">
        <f t="shared" si="1"/>
        <v>1</v>
      </c>
      <c r="E31" s="123">
        <f t="shared" si="2"/>
        <v>27</v>
      </c>
      <c r="F31" s="270">
        <v>3760</v>
      </c>
    </row>
    <row r="32" spans="2:6" ht="18" customHeight="1">
      <c r="B32" s="242">
        <f t="shared" si="4"/>
        <v>44954</v>
      </c>
      <c r="C32" s="123">
        <f t="shared" si="0"/>
        <v>2023</v>
      </c>
      <c r="D32" s="123">
        <f t="shared" si="1"/>
        <v>1</v>
      </c>
      <c r="E32" s="123">
        <f t="shared" si="2"/>
        <v>28</v>
      </c>
      <c r="F32" s="270">
        <v>2613</v>
      </c>
    </row>
    <row r="33" spans="2:6" ht="18" customHeight="1">
      <c r="B33" s="242">
        <f t="shared" si="4"/>
        <v>44955</v>
      </c>
      <c r="C33" s="123">
        <f t="shared" si="0"/>
        <v>2023</v>
      </c>
      <c r="D33" s="123">
        <f t="shared" si="1"/>
        <v>1</v>
      </c>
      <c r="E33" s="123">
        <f t="shared" si="2"/>
        <v>29</v>
      </c>
      <c r="F33" s="270">
        <v>6127</v>
      </c>
    </row>
    <row r="34" spans="2:6" ht="18" customHeight="1">
      <c r="B34" s="242">
        <f t="shared" si="4"/>
        <v>44956</v>
      </c>
      <c r="C34" s="123">
        <f t="shared" si="0"/>
        <v>2023</v>
      </c>
      <c r="D34" s="123">
        <f t="shared" si="1"/>
        <v>1</v>
      </c>
      <c r="E34" s="123">
        <f t="shared" si="2"/>
        <v>30</v>
      </c>
      <c r="F34" s="270">
        <v>4351</v>
      </c>
    </row>
    <row r="35" spans="2:6" ht="18" customHeight="1">
      <c r="B35" s="242">
        <f t="shared" si="4"/>
        <v>44957</v>
      </c>
      <c r="C35" s="123">
        <f t="shared" si="0"/>
        <v>2023</v>
      </c>
      <c r="D35" s="123">
        <f t="shared" si="1"/>
        <v>1</v>
      </c>
      <c r="E35" s="123">
        <f t="shared" si="2"/>
        <v>31</v>
      </c>
      <c r="F35" s="270">
        <v>1598</v>
      </c>
    </row>
    <row r="36" spans="2:6" ht="18" customHeight="1">
      <c r="B36" s="242">
        <f t="shared" si="4"/>
        <v>44958</v>
      </c>
      <c r="C36" s="123">
        <f t="shared" si="0"/>
        <v>2023</v>
      </c>
      <c r="D36" s="123">
        <f t="shared" si="1"/>
        <v>2</v>
      </c>
      <c r="E36" s="123">
        <f t="shared" si="2"/>
        <v>1</v>
      </c>
      <c r="F36" s="270">
        <v>10574</v>
      </c>
    </row>
    <row r="37" spans="2:6" ht="18" customHeight="1">
      <c r="B37" s="242">
        <f t="shared" si="4"/>
        <v>44959</v>
      </c>
      <c r="C37" s="123">
        <f t="shared" si="0"/>
        <v>2023</v>
      </c>
      <c r="D37" s="123">
        <f t="shared" si="1"/>
        <v>2</v>
      </c>
      <c r="E37" s="123">
        <f t="shared" si="2"/>
        <v>2</v>
      </c>
      <c r="F37" s="270">
        <v>4953</v>
      </c>
    </row>
    <row r="38" spans="2:6" ht="18" customHeight="1">
      <c r="B38" s="242">
        <f t="shared" si="4"/>
        <v>44960</v>
      </c>
      <c r="C38" s="123">
        <f t="shared" si="0"/>
        <v>2023</v>
      </c>
      <c r="D38" s="123">
        <f t="shared" si="1"/>
        <v>2</v>
      </c>
      <c r="E38" s="123">
        <f t="shared" si="2"/>
        <v>3</v>
      </c>
      <c r="F38" s="270">
        <v>4909</v>
      </c>
    </row>
    <row r="39" spans="2:6" ht="18" customHeight="1">
      <c r="B39" s="242">
        <f t="shared" si="4"/>
        <v>44961</v>
      </c>
      <c r="C39" s="123">
        <f t="shared" si="0"/>
        <v>2023</v>
      </c>
      <c r="D39" s="123">
        <f t="shared" si="1"/>
        <v>2</v>
      </c>
      <c r="E39" s="123">
        <f t="shared" si="2"/>
        <v>4</v>
      </c>
      <c r="F39" s="270">
        <v>11032</v>
      </c>
    </row>
    <row r="40" spans="2:6" ht="18" customHeight="1">
      <c r="B40" s="242">
        <f t="shared" si="4"/>
        <v>44962</v>
      </c>
      <c r="C40" s="123">
        <f t="shared" si="0"/>
        <v>2023</v>
      </c>
      <c r="D40" s="123">
        <f t="shared" si="1"/>
        <v>2</v>
      </c>
      <c r="E40" s="123">
        <f t="shared" si="2"/>
        <v>5</v>
      </c>
      <c r="F40" s="270">
        <v>9678</v>
      </c>
    </row>
    <row r="41" spans="2:6" ht="18" customHeight="1">
      <c r="B41" s="242">
        <f t="shared" si="4"/>
        <v>44963</v>
      </c>
      <c r="C41" s="123">
        <f t="shared" si="0"/>
        <v>2023</v>
      </c>
      <c r="D41" s="123">
        <f t="shared" si="1"/>
        <v>2</v>
      </c>
      <c r="E41" s="123">
        <f t="shared" si="2"/>
        <v>6</v>
      </c>
      <c r="F41" s="270">
        <v>4999</v>
      </c>
    </row>
    <row r="42" spans="2:6" ht="18" customHeight="1">
      <c r="B42" s="242">
        <f t="shared" si="4"/>
        <v>44964</v>
      </c>
      <c r="C42" s="123">
        <f t="shared" si="0"/>
        <v>2023</v>
      </c>
      <c r="D42" s="123">
        <f t="shared" si="1"/>
        <v>2</v>
      </c>
      <c r="E42" s="123">
        <f t="shared" si="2"/>
        <v>7</v>
      </c>
      <c r="F42" s="270">
        <v>1878</v>
      </c>
    </row>
    <row r="43" spans="2:6" ht="18" customHeight="1">
      <c r="B43" s="242">
        <f t="shared" si="4"/>
        <v>44965</v>
      </c>
      <c r="C43" s="123">
        <f t="shared" si="0"/>
        <v>2023</v>
      </c>
      <c r="D43" s="123">
        <f t="shared" si="1"/>
        <v>2</v>
      </c>
      <c r="E43" s="123">
        <f t="shared" si="2"/>
        <v>8</v>
      </c>
      <c r="F43" s="270">
        <v>6583</v>
      </c>
    </row>
    <row r="44" spans="2:6" ht="18" customHeight="1">
      <c r="B44" s="242">
        <f t="shared" si="4"/>
        <v>44966</v>
      </c>
      <c r="C44" s="123">
        <f t="shared" si="0"/>
        <v>2023</v>
      </c>
      <c r="D44" s="123">
        <f t="shared" si="1"/>
        <v>2</v>
      </c>
      <c r="E44" s="123">
        <f t="shared" si="2"/>
        <v>9</v>
      </c>
      <c r="F44" s="270">
        <v>4294</v>
      </c>
    </row>
    <row r="45" spans="2:6" ht="18" customHeight="1">
      <c r="B45" s="242">
        <f t="shared" si="4"/>
        <v>44967</v>
      </c>
      <c r="C45" s="123">
        <f t="shared" si="0"/>
        <v>2023</v>
      </c>
      <c r="D45" s="123">
        <f t="shared" si="1"/>
        <v>2</v>
      </c>
      <c r="E45" s="123">
        <f t="shared" si="2"/>
        <v>10</v>
      </c>
      <c r="F45" s="270">
        <v>5285</v>
      </c>
    </row>
    <row r="46" spans="2:6" ht="18" customHeight="1">
      <c r="B46" s="242">
        <f t="shared" si="4"/>
        <v>44968</v>
      </c>
      <c r="C46" s="123">
        <f t="shared" si="0"/>
        <v>2023</v>
      </c>
      <c r="D46" s="123">
        <f t="shared" si="1"/>
        <v>2</v>
      </c>
      <c r="E46" s="123">
        <f t="shared" si="2"/>
        <v>11</v>
      </c>
      <c r="F46" s="270">
        <v>9274</v>
      </c>
    </row>
    <row r="47" spans="2:6" ht="18" customHeight="1">
      <c r="B47" s="242">
        <f t="shared" si="4"/>
        <v>44969</v>
      </c>
      <c r="C47" s="123">
        <f t="shared" si="0"/>
        <v>2023</v>
      </c>
      <c r="D47" s="123">
        <f t="shared" si="1"/>
        <v>2</v>
      </c>
      <c r="E47" s="123">
        <f t="shared" si="2"/>
        <v>12</v>
      </c>
      <c r="F47" s="270">
        <v>3116</v>
      </c>
    </row>
    <row r="48" spans="2:6" ht="18" customHeight="1">
      <c r="B48" s="242">
        <f t="shared" si="4"/>
        <v>44970</v>
      </c>
      <c r="C48" s="123">
        <f t="shared" si="0"/>
        <v>2023</v>
      </c>
      <c r="D48" s="123">
        <f t="shared" si="1"/>
        <v>2</v>
      </c>
      <c r="E48" s="123">
        <f t="shared" si="2"/>
        <v>13</v>
      </c>
      <c r="F48" s="270">
        <v>3276</v>
      </c>
    </row>
    <row r="49" spans="2:6" ht="18" customHeight="1">
      <c r="B49" s="242">
        <f t="shared" si="4"/>
        <v>44971</v>
      </c>
      <c r="C49" s="123">
        <f t="shared" si="0"/>
        <v>2023</v>
      </c>
      <c r="D49" s="123">
        <f t="shared" si="1"/>
        <v>2</v>
      </c>
      <c r="E49" s="123">
        <f t="shared" si="2"/>
        <v>14</v>
      </c>
      <c r="F49" s="270">
        <v>5730</v>
      </c>
    </row>
    <row r="50" spans="2:6" ht="18" customHeight="1">
      <c r="B50" s="242">
        <f t="shared" si="4"/>
        <v>44972</v>
      </c>
      <c r="C50" s="123">
        <f t="shared" si="0"/>
        <v>2023</v>
      </c>
      <c r="D50" s="123">
        <f t="shared" si="1"/>
        <v>2</v>
      </c>
      <c r="E50" s="123">
        <f t="shared" si="2"/>
        <v>15</v>
      </c>
      <c r="F50" s="270">
        <v>1734</v>
      </c>
    </row>
    <row r="51" spans="2:6" ht="18" customHeight="1">
      <c r="B51" s="242">
        <f t="shared" si="4"/>
        <v>44973</v>
      </c>
      <c r="C51" s="123">
        <f t="shared" si="0"/>
        <v>2023</v>
      </c>
      <c r="D51" s="123">
        <f t="shared" si="1"/>
        <v>2</v>
      </c>
      <c r="E51" s="123">
        <f t="shared" si="2"/>
        <v>16</v>
      </c>
      <c r="F51" s="270">
        <v>8120</v>
      </c>
    </row>
    <row r="52" spans="2:6" ht="18" customHeight="1">
      <c r="B52" s="242">
        <f t="shared" si="4"/>
        <v>44974</v>
      </c>
      <c r="C52" s="123">
        <f t="shared" si="0"/>
        <v>2023</v>
      </c>
      <c r="D52" s="123">
        <f t="shared" si="1"/>
        <v>2</v>
      </c>
      <c r="E52" s="123">
        <f t="shared" si="2"/>
        <v>17</v>
      </c>
      <c r="F52" s="270">
        <v>9107</v>
      </c>
    </row>
    <row r="53" spans="2:6" ht="18" customHeight="1">
      <c r="B53" s="242">
        <f t="shared" si="4"/>
        <v>44975</v>
      </c>
      <c r="C53" s="123">
        <f t="shared" si="0"/>
        <v>2023</v>
      </c>
      <c r="D53" s="123">
        <f t="shared" si="1"/>
        <v>2</v>
      </c>
      <c r="E53" s="123">
        <f t="shared" si="2"/>
        <v>18</v>
      </c>
      <c r="F53" s="270">
        <v>6311</v>
      </c>
    </row>
    <row r="54" spans="2:6" ht="18" customHeight="1">
      <c r="B54" s="242">
        <f t="shared" si="4"/>
        <v>44976</v>
      </c>
      <c r="C54" s="123">
        <f t="shared" si="0"/>
        <v>2023</v>
      </c>
      <c r="D54" s="123">
        <f t="shared" si="1"/>
        <v>2</v>
      </c>
      <c r="E54" s="123">
        <f t="shared" si="2"/>
        <v>19</v>
      </c>
      <c r="F54" s="270">
        <v>5516</v>
      </c>
    </row>
    <row r="55" spans="2:6" ht="18" customHeight="1">
      <c r="B55" s="242">
        <f t="shared" si="4"/>
        <v>44977</v>
      </c>
      <c r="C55" s="123">
        <f t="shared" si="0"/>
        <v>2023</v>
      </c>
      <c r="D55" s="123">
        <f t="shared" si="1"/>
        <v>2</v>
      </c>
      <c r="E55" s="123">
        <f t="shared" si="2"/>
        <v>20</v>
      </c>
      <c r="F55" s="270">
        <v>7732</v>
      </c>
    </row>
    <row r="56" spans="2:6" ht="18" customHeight="1">
      <c r="B56" s="242">
        <f t="shared" si="4"/>
        <v>44978</v>
      </c>
      <c r="C56" s="123">
        <f t="shared" si="0"/>
        <v>2023</v>
      </c>
      <c r="D56" s="123">
        <f t="shared" si="1"/>
        <v>2</v>
      </c>
      <c r="E56" s="123">
        <f t="shared" si="2"/>
        <v>21</v>
      </c>
      <c r="F56" s="270">
        <v>9341</v>
      </c>
    </row>
    <row r="57" spans="2:6" ht="18" customHeight="1">
      <c r="B57" s="242">
        <f t="shared" si="4"/>
        <v>44979</v>
      </c>
      <c r="C57" s="123">
        <f t="shared" si="0"/>
        <v>2023</v>
      </c>
      <c r="D57" s="123">
        <f t="shared" si="1"/>
        <v>2</v>
      </c>
      <c r="E57" s="123">
        <f t="shared" si="2"/>
        <v>22</v>
      </c>
      <c r="F57" s="270">
        <v>10399</v>
      </c>
    </row>
    <row r="58" spans="2:6" ht="18" customHeight="1">
      <c r="B58" s="242">
        <f t="shared" si="4"/>
        <v>44980</v>
      </c>
      <c r="C58" s="123">
        <f t="shared" si="0"/>
        <v>2023</v>
      </c>
      <c r="D58" s="123">
        <f t="shared" si="1"/>
        <v>2</v>
      </c>
      <c r="E58" s="123">
        <f t="shared" si="2"/>
        <v>23</v>
      </c>
      <c r="F58" s="270">
        <v>2933</v>
      </c>
    </row>
    <row r="59" spans="2:6" ht="18" customHeight="1">
      <c r="B59" s="242">
        <f t="shared" si="4"/>
        <v>44981</v>
      </c>
      <c r="C59" s="123">
        <f t="shared" si="0"/>
        <v>2023</v>
      </c>
      <c r="D59" s="123">
        <f t="shared" si="1"/>
        <v>2</v>
      </c>
      <c r="E59" s="123">
        <f t="shared" si="2"/>
        <v>24</v>
      </c>
      <c r="F59" s="270">
        <v>4600</v>
      </c>
    </row>
    <row r="60" spans="2:6" ht="18" customHeight="1">
      <c r="B60" s="242">
        <f t="shared" si="4"/>
        <v>44982</v>
      </c>
      <c r="C60" s="123">
        <f t="shared" si="0"/>
        <v>2023</v>
      </c>
      <c r="D60" s="123">
        <f t="shared" si="1"/>
        <v>2</v>
      </c>
      <c r="E60" s="123">
        <f t="shared" si="2"/>
        <v>25</v>
      </c>
      <c r="F60" s="270">
        <v>7724</v>
      </c>
    </row>
    <row r="61" spans="2:6" ht="18" customHeight="1">
      <c r="B61" s="242">
        <f t="shared" si="4"/>
        <v>44983</v>
      </c>
      <c r="C61" s="123">
        <f t="shared" si="0"/>
        <v>2023</v>
      </c>
      <c r="D61" s="123">
        <f t="shared" si="1"/>
        <v>2</v>
      </c>
      <c r="E61" s="123">
        <f t="shared" si="2"/>
        <v>26</v>
      </c>
      <c r="F61" s="270">
        <v>3671</v>
      </c>
    </row>
    <row r="62" spans="2:6" ht="18" customHeight="1">
      <c r="B62" s="242">
        <f t="shared" si="4"/>
        <v>44984</v>
      </c>
      <c r="C62" s="123">
        <f t="shared" si="0"/>
        <v>2023</v>
      </c>
      <c r="D62" s="123">
        <f t="shared" si="1"/>
        <v>2</v>
      </c>
      <c r="E62" s="123">
        <f t="shared" si="2"/>
        <v>27</v>
      </c>
      <c r="F62" s="270">
        <v>4572</v>
      </c>
    </row>
    <row r="63" spans="2:6" ht="18" customHeight="1">
      <c r="B63" s="242">
        <f t="shared" si="4"/>
        <v>44985</v>
      </c>
      <c r="C63" s="123">
        <f t="shared" si="0"/>
        <v>2023</v>
      </c>
      <c r="D63" s="123">
        <f t="shared" si="1"/>
        <v>2</v>
      </c>
      <c r="E63" s="123">
        <f t="shared" si="2"/>
        <v>28</v>
      </c>
      <c r="F63" s="270">
        <v>10361</v>
      </c>
    </row>
    <row r="64" spans="2:6" ht="18" customHeight="1">
      <c r="B64" s="242">
        <f t="shared" si="4"/>
        <v>44986</v>
      </c>
      <c r="C64" s="123">
        <f t="shared" si="0"/>
        <v>2023</v>
      </c>
      <c r="D64" s="123">
        <f t="shared" si="1"/>
        <v>3</v>
      </c>
      <c r="E64" s="123">
        <f t="shared" si="2"/>
        <v>1</v>
      </c>
      <c r="F64" s="270">
        <v>2027</v>
      </c>
    </row>
    <row r="65" spans="2:6" ht="18" customHeight="1">
      <c r="B65" s="242">
        <f t="shared" si="4"/>
        <v>44987</v>
      </c>
      <c r="C65" s="123">
        <f t="shared" si="0"/>
        <v>2023</v>
      </c>
      <c r="D65" s="123">
        <f t="shared" si="1"/>
        <v>3</v>
      </c>
      <c r="E65" s="123">
        <f t="shared" si="2"/>
        <v>2</v>
      </c>
      <c r="F65" s="270">
        <v>9837</v>
      </c>
    </row>
    <row r="66" spans="2:6" ht="18" customHeight="1">
      <c r="B66" s="242">
        <f t="shared" si="4"/>
        <v>44988</v>
      </c>
      <c r="C66" s="123">
        <f t="shared" si="0"/>
        <v>2023</v>
      </c>
      <c r="D66" s="123">
        <f t="shared" si="1"/>
        <v>3</v>
      </c>
      <c r="E66" s="123">
        <f t="shared" si="2"/>
        <v>3</v>
      </c>
      <c r="F66" s="270">
        <v>7426</v>
      </c>
    </row>
    <row r="67" spans="2:6" ht="18" customHeight="1">
      <c r="B67" s="242">
        <f t="shared" si="4"/>
        <v>44989</v>
      </c>
      <c r="C67" s="123">
        <f t="shared" si="0"/>
        <v>2023</v>
      </c>
      <c r="D67" s="123">
        <f t="shared" si="1"/>
        <v>3</v>
      </c>
      <c r="E67" s="123">
        <f t="shared" si="2"/>
        <v>4</v>
      </c>
      <c r="F67" s="270">
        <v>3109</v>
      </c>
    </row>
    <row r="68" spans="2:6" ht="18" customHeight="1">
      <c r="B68" s="242">
        <f t="shared" si="4"/>
        <v>44990</v>
      </c>
      <c r="C68" s="123">
        <f t="shared" si="0"/>
        <v>2023</v>
      </c>
      <c r="D68" s="123">
        <f t="shared" si="1"/>
        <v>3</v>
      </c>
      <c r="E68" s="123">
        <f t="shared" si="2"/>
        <v>5</v>
      </c>
      <c r="F68" s="270">
        <v>8742</v>
      </c>
    </row>
    <row r="69" spans="2:6" ht="18" customHeight="1">
      <c r="B69" s="242">
        <f t="shared" si="4"/>
        <v>44991</v>
      </c>
      <c r="C69" s="123">
        <f t="shared" si="0"/>
        <v>2023</v>
      </c>
      <c r="D69" s="123">
        <f t="shared" si="1"/>
        <v>3</v>
      </c>
      <c r="E69" s="123">
        <f t="shared" si="2"/>
        <v>6</v>
      </c>
      <c r="F69" s="270">
        <v>8520</v>
      </c>
    </row>
    <row r="70" spans="2:6" ht="18" customHeight="1">
      <c r="B70" s="242">
        <f t="shared" si="4"/>
        <v>44992</v>
      </c>
      <c r="C70" s="123">
        <f t="shared" ref="C70:C133" si="6">YEAR(B70)</f>
        <v>2023</v>
      </c>
      <c r="D70" s="123">
        <f t="shared" ref="D70:D133" si="7">MONTH(B70)</f>
        <v>3</v>
      </c>
      <c r="E70" s="123">
        <f t="shared" ref="E70:E133" si="8">DAY(B70)</f>
        <v>7</v>
      </c>
      <c r="F70" s="270">
        <v>1477</v>
      </c>
    </row>
    <row r="71" spans="2:6" ht="18" customHeight="1">
      <c r="B71" s="242">
        <f t="shared" ref="B71:B134" si="9">+B70+1</f>
        <v>44993</v>
      </c>
      <c r="C71" s="123">
        <f t="shared" si="6"/>
        <v>2023</v>
      </c>
      <c r="D71" s="123">
        <f t="shared" si="7"/>
        <v>3</v>
      </c>
      <c r="E71" s="123">
        <f t="shared" si="8"/>
        <v>8</v>
      </c>
      <c r="F71" s="270">
        <v>6091</v>
      </c>
    </row>
    <row r="72" spans="2:6" ht="18" customHeight="1">
      <c r="B72" s="242">
        <f t="shared" si="9"/>
        <v>44994</v>
      </c>
      <c r="C72" s="123">
        <f t="shared" si="6"/>
        <v>2023</v>
      </c>
      <c r="D72" s="123">
        <f t="shared" si="7"/>
        <v>3</v>
      </c>
      <c r="E72" s="123">
        <f t="shared" si="8"/>
        <v>9</v>
      </c>
      <c r="F72" s="270">
        <v>9254</v>
      </c>
    </row>
    <row r="73" spans="2:6" ht="18" customHeight="1">
      <c r="B73" s="242">
        <f t="shared" si="9"/>
        <v>44995</v>
      </c>
      <c r="C73" s="123">
        <f t="shared" si="6"/>
        <v>2023</v>
      </c>
      <c r="D73" s="123">
        <f t="shared" si="7"/>
        <v>3</v>
      </c>
      <c r="E73" s="123">
        <f t="shared" si="8"/>
        <v>10</v>
      </c>
      <c r="F73" s="270">
        <v>9816</v>
      </c>
    </row>
    <row r="74" spans="2:6" ht="18" customHeight="1">
      <c r="B74" s="242">
        <f t="shared" si="9"/>
        <v>44996</v>
      </c>
      <c r="C74" s="123">
        <f t="shared" si="6"/>
        <v>2023</v>
      </c>
      <c r="D74" s="123">
        <f t="shared" si="7"/>
        <v>3</v>
      </c>
      <c r="E74" s="123">
        <f t="shared" si="8"/>
        <v>11</v>
      </c>
      <c r="F74" s="270">
        <v>5475</v>
      </c>
    </row>
    <row r="75" spans="2:6" ht="18" customHeight="1">
      <c r="B75" s="242">
        <f t="shared" si="9"/>
        <v>44997</v>
      </c>
      <c r="C75" s="123">
        <f t="shared" si="6"/>
        <v>2023</v>
      </c>
      <c r="D75" s="123">
        <f t="shared" si="7"/>
        <v>3</v>
      </c>
      <c r="E75" s="123">
        <f t="shared" si="8"/>
        <v>12</v>
      </c>
      <c r="F75" s="270">
        <v>2525</v>
      </c>
    </row>
    <row r="76" spans="2:6" ht="18" customHeight="1">
      <c r="B76" s="242">
        <f t="shared" si="9"/>
        <v>44998</v>
      </c>
      <c r="C76" s="123">
        <f t="shared" si="6"/>
        <v>2023</v>
      </c>
      <c r="D76" s="123">
        <f t="shared" si="7"/>
        <v>3</v>
      </c>
      <c r="E76" s="123">
        <f t="shared" si="8"/>
        <v>13</v>
      </c>
      <c r="F76" s="270">
        <v>5156</v>
      </c>
    </row>
    <row r="77" spans="2:6" ht="18" customHeight="1">
      <c r="B77" s="242">
        <f t="shared" si="9"/>
        <v>44999</v>
      </c>
      <c r="C77" s="123">
        <f t="shared" si="6"/>
        <v>2023</v>
      </c>
      <c r="D77" s="123">
        <f t="shared" si="7"/>
        <v>3</v>
      </c>
      <c r="E77" s="123">
        <f t="shared" si="8"/>
        <v>14</v>
      </c>
      <c r="F77" s="270">
        <v>10965</v>
      </c>
    </row>
    <row r="78" spans="2:6" ht="18" customHeight="1">
      <c r="B78" s="242">
        <f t="shared" si="9"/>
        <v>45000</v>
      </c>
      <c r="C78" s="123">
        <f t="shared" si="6"/>
        <v>2023</v>
      </c>
      <c r="D78" s="123">
        <f t="shared" si="7"/>
        <v>3</v>
      </c>
      <c r="E78" s="123">
        <f t="shared" si="8"/>
        <v>15</v>
      </c>
      <c r="F78" s="270">
        <v>3341</v>
      </c>
    </row>
    <row r="79" spans="2:6" ht="18" customHeight="1">
      <c r="B79" s="242">
        <f t="shared" si="9"/>
        <v>45001</v>
      </c>
      <c r="C79" s="123">
        <f t="shared" si="6"/>
        <v>2023</v>
      </c>
      <c r="D79" s="123">
        <f t="shared" si="7"/>
        <v>3</v>
      </c>
      <c r="E79" s="123">
        <f t="shared" si="8"/>
        <v>16</v>
      </c>
      <c r="F79" s="270">
        <v>8207</v>
      </c>
    </row>
    <row r="80" spans="2:6" ht="18" customHeight="1">
      <c r="B80" s="242">
        <f t="shared" si="9"/>
        <v>45002</v>
      </c>
      <c r="C80" s="123">
        <f t="shared" si="6"/>
        <v>2023</v>
      </c>
      <c r="D80" s="123">
        <f t="shared" si="7"/>
        <v>3</v>
      </c>
      <c r="E80" s="123">
        <f t="shared" si="8"/>
        <v>17</v>
      </c>
      <c r="F80" s="270">
        <v>9646</v>
      </c>
    </row>
    <row r="81" spans="2:6" ht="18" customHeight="1">
      <c r="B81" s="242">
        <f t="shared" si="9"/>
        <v>45003</v>
      </c>
      <c r="C81" s="123">
        <f t="shared" si="6"/>
        <v>2023</v>
      </c>
      <c r="D81" s="123">
        <f t="shared" si="7"/>
        <v>3</v>
      </c>
      <c r="E81" s="123">
        <f t="shared" si="8"/>
        <v>18</v>
      </c>
      <c r="F81" s="270">
        <v>7912</v>
      </c>
    </row>
    <row r="82" spans="2:6" ht="18" customHeight="1">
      <c r="B82" s="242">
        <f t="shared" si="9"/>
        <v>45004</v>
      </c>
      <c r="C82" s="123">
        <f t="shared" si="6"/>
        <v>2023</v>
      </c>
      <c r="D82" s="123">
        <f t="shared" si="7"/>
        <v>3</v>
      </c>
      <c r="E82" s="123">
        <f t="shared" si="8"/>
        <v>19</v>
      </c>
      <c r="F82" s="270">
        <v>9324</v>
      </c>
    </row>
    <row r="83" spans="2:6" ht="18" customHeight="1">
      <c r="B83" s="242">
        <f t="shared" si="9"/>
        <v>45005</v>
      </c>
      <c r="C83" s="123">
        <f t="shared" si="6"/>
        <v>2023</v>
      </c>
      <c r="D83" s="123">
        <f t="shared" si="7"/>
        <v>3</v>
      </c>
      <c r="E83" s="123">
        <f t="shared" si="8"/>
        <v>20</v>
      </c>
      <c r="F83" s="270">
        <v>8228</v>
      </c>
    </row>
    <row r="84" spans="2:6" ht="18" customHeight="1">
      <c r="B84" s="242">
        <f t="shared" si="9"/>
        <v>45006</v>
      </c>
      <c r="C84" s="123">
        <f t="shared" si="6"/>
        <v>2023</v>
      </c>
      <c r="D84" s="123">
        <f t="shared" si="7"/>
        <v>3</v>
      </c>
      <c r="E84" s="123">
        <f t="shared" si="8"/>
        <v>21</v>
      </c>
      <c r="F84" s="270">
        <v>6893</v>
      </c>
    </row>
    <row r="85" spans="2:6" ht="18" customHeight="1">
      <c r="B85" s="242">
        <f t="shared" si="9"/>
        <v>45007</v>
      </c>
      <c r="C85" s="123">
        <f t="shared" si="6"/>
        <v>2023</v>
      </c>
      <c r="D85" s="123">
        <f t="shared" si="7"/>
        <v>3</v>
      </c>
      <c r="E85" s="123">
        <f t="shared" si="8"/>
        <v>22</v>
      </c>
      <c r="F85" s="270">
        <v>6646</v>
      </c>
    </row>
    <row r="86" spans="2:6" ht="18" customHeight="1">
      <c r="B86" s="242">
        <f t="shared" si="9"/>
        <v>45008</v>
      </c>
      <c r="C86" s="123">
        <f t="shared" si="6"/>
        <v>2023</v>
      </c>
      <c r="D86" s="123">
        <f t="shared" si="7"/>
        <v>3</v>
      </c>
      <c r="E86" s="123">
        <f t="shared" si="8"/>
        <v>23</v>
      </c>
      <c r="F86" s="270">
        <v>3676</v>
      </c>
    </row>
    <row r="87" spans="2:6" ht="18" customHeight="1">
      <c r="B87" s="242">
        <f t="shared" si="9"/>
        <v>45009</v>
      </c>
      <c r="C87" s="123">
        <f t="shared" si="6"/>
        <v>2023</v>
      </c>
      <c r="D87" s="123">
        <f t="shared" si="7"/>
        <v>3</v>
      </c>
      <c r="E87" s="123">
        <f t="shared" si="8"/>
        <v>24</v>
      </c>
      <c r="F87" s="270">
        <v>2547</v>
      </c>
    </row>
    <row r="88" spans="2:6" ht="18" customHeight="1">
      <c r="B88" s="242">
        <f t="shared" si="9"/>
        <v>45010</v>
      </c>
      <c r="C88" s="123">
        <f t="shared" si="6"/>
        <v>2023</v>
      </c>
      <c r="D88" s="123">
        <f t="shared" si="7"/>
        <v>3</v>
      </c>
      <c r="E88" s="123">
        <f t="shared" si="8"/>
        <v>25</v>
      </c>
      <c r="F88" s="270">
        <v>7066</v>
      </c>
    </row>
    <row r="89" spans="2:6" ht="18" customHeight="1">
      <c r="B89" s="242">
        <f t="shared" si="9"/>
        <v>45011</v>
      </c>
      <c r="C89" s="123">
        <f t="shared" si="6"/>
        <v>2023</v>
      </c>
      <c r="D89" s="123">
        <f t="shared" si="7"/>
        <v>3</v>
      </c>
      <c r="E89" s="123">
        <f t="shared" si="8"/>
        <v>26</v>
      </c>
      <c r="F89" s="270">
        <v>1783</v>
      </c>
    </row>
    <row r="90" spans="2:6" ht="18" customHeight="1">
      <c r="B90" s="242">
        <f t="shared" si="9"/>
        <v>45012</v>
      </c>
      <c r="C90" s="123">
        <f t="shared" si="6"/>
        <v>2023</v>
      </c>
      <c r="D90" s="123">
        <f t="shared" si="7"/>
        <v>3</v>
      </c>
      <c r="E90" s="123">
        <f t="shared" si="8"/>
        <v>27</v>
      </c>
      <c r="F90" s="270">
        <v>2901</v>
      </c>
    </row>
    <row r="91" spans="2:6" ht="18" customHeight="1">
      <c r="B91" s="242">
        <f t="shared" si="9"/>
        <v>45013</v>
      </c>
      <c r="C91" s="123">
        <f t="shared" si="6"/>
        <v>2023</v>
      </c>
      <c r="D91" s="123">
        <f t="shared" si="7"/>
        <v>3</v>
      </c>
      <c r="E91" s="123">
        <f t="shared" si="8"/>
        <v>28</v>
      </c>
      <c r="F91" s="270">
        <v>8694</v>
      </c>
    </row>
    <row r="92" spans="2:6" ht="18" customHeight="1">
      <c r="B92" s="242">
        <f t="shared" si="9"/>
        <v>45014</v>
      </c>
      <c r="C92" s="123">
        <f t="shared" si="6"/>
        <v>2023</v>
      </c>
      <c r="D92" s="123">
        <f t="shared" si="7"/>
        <v>3</v>
      </c>
      <c r="E92" s="123">
        <f t="shared" si="8"/>
        <v>29</v>
      </c>
      <c r="F92" s="270">
        <v>10768</v>
      </c>
    </row>
    <row r="93" spans="2:6" ht="18" customHeight="1">
      <c r="B93" s="242">
        <f t="shared" si="9"/>
        <v>45015</v>
      </c>
      <c r="C93" s="123">
        <f t="shared" si="6"/>
        <v>2023</v>
      </c>
      <c r="D93" s="123">
        <f t="shared" si="7"/>
        <v>3</v>
      </c>
      <c r="E93" s="123">
        <f t="shared" si="8"/>
        <v>30</v>
      </c>
      <c r="F93" s="270">
        <v>3559</v>
      </c>
    </row>
    <row r="94" spans="2:6" ht="18" customHeight="1">
      <c r="B94" s="242">
        <f t="shared" si="9"/>
        <v>45016</v>
      </c>
      <c r="C94" s="123">
        <f t="shared" si="6"/>
        <v>2023</v>
      </c>
      <c r="D94" s="123">
        <f t="shared" si="7"/>
        <v>3</v>
      </c>
      <c r="E94" s="123">
        <f t="shared" si="8"/>
        <v>31</v>
      </c>
      <c r="F94" s="270">
        <v>5960</v>
      </c>
    </row>
    <row r="95" spans="2:6" ht="18" customHeight="1">
      <c r="B95" s="242">
        <f t="shared" si="9"/>
        <v>45017</v>
      </c>
      <c r="C95" s="123">
        <f t="shared" si="6"/>
        <v>2023</v>
      </c>
      <c r="D95" s="123">
        <f t="shared" si="7"/>
        <v>4</v>
      </c>
      <c r="E95" s="123">
        <f t="shared" si="8"/>
        <v>1</v>
      </c>
      <c r="F95" s="270">
        <v>6155</v>
      </c>
    </row>
    <row r="96" spans="2:6" ht="18" customHeight="1">
      <c r="B96" s="242">
        <f t="shared" si="9"/>
        <v>45018</v>
      </c>
      <c r="C96" s="123">
        <f t="shared" si="6"/>
        <v>2023</v>
      </c>
      <c r="D96" s="123">
        <f t="shared" si="7"/>
        <v>4</v>
      </c>
      <c r="E96" s="123">
        <f t="shared" si="8"/>
        <v>2</v>
      </c>
      <c r="F96" s="270">
        <v>9266</v>
      </c>
    </row>
    <row r="97" spans="2:6" ht="18" customHeight="1">
      <c r="B97" s="242">
        <f t="shared" si="9"/>
        <v>45019</v>
      </c>
      <c r="C97" s="123">
        <f t="shared" si="6"/>
        <v>2023</v>
      </c>
      <c r="D97" s="123">
        <f t="shared" si="7"/>
        <v>4</v>
      </c>
      <c r="E97" s="123">
        <f t="shared" si="8"/>
        <v>3</v>
      </c>
      <c r="F97" s="270">
        <v>1642</v>
      </c>
    </row>
    <row r="98" spans="2:6" ht="18" customHeight="1">
      <c r="B98" s="242">
        <f t="shared" si="9"/>
        <v>45020</v>
      </c>
      <c r="C98" s="123">
        <f t="shared" si="6"/>
        <v>2023</v>
      </c>
      <c r="D98" s="123">
        <f t="shared" si="7"/>
        <v>4</v>
      </c>
      <c r="E98" s="123">
        <f t="shared" si="8"/>
        <v>4</v>
      </c>
      <c r="F98" s="270">
        <v>2207</v>
      </c>
    </row>
    <row r="99" spans="2:6" ht="18" customHeight="1">
      <c r="B99" s="242">
        <f t="shared" si="9"/>
        <v>45021</v>
      </c>
      <c r="C99" s="123">
        <f t="shared" si="6"/>
        <v>2023</v>
      </c>
      <c r="D99" s="123">
        <f t="shared" si="7"/>
        <v>4</v>
      </c>
      <c r="E99" s="123">
        <f t="shared" si="8"/>
        <v>5</v>
      </c>
      <c r="F99" s="270">
        <v>6747</v>
      </c>
    </row>
    <row r="100" spans="2:6" ht="18" customHeight="1">
      <c r="B100" s="242">
        <f t="shared" si="9"/>
        <v>45022</v>
      </c>
      <c r="C100" s="123">
        <f t="shared" si="6"/>
        <v>2023</v>
      </c>
      <c r="D100" s="123">
        <f t="shared" si="7"/>
        <v>4</v>
      </c>
      <c r="E100" s="123">
        <f t="shared" si="8"/>
        <v>6</v>
      </c>
      <c r="F100" s="270">
        <v>7129</v>
      </c>
    </row>
    <row r="101" spans="2:6" ht="18" customHeight="1">
      <c r="B101" s="242">
        <f t="shared" si="9"/>
        <v>45023</v>
      </c>
      <c r="C101" s="123">
        <f t="shared" si="6"/>
        <v>2023</v>
      </c>
      <c r="D101" s="123">
        <f t="shared" si="7"/>
        <v>4</v>
      </c>
      <c r="E101" s="123">
        <f t="shared" si="8"/>
        <v>7</v>
      </c>
      <c r="F101" s="270">
        <v>2614</v>
      </c>
    </row>
    <row r="102" spans="2:6" ht="18" customHeight="1">
      <c r="B102" s="242">
        <f t="shared" si="9"/>
        <v>45024</v>
      </c>
      <c r="C102" s="123">
        <f t="shared" si="6"/>
        <v>2023</v>
      </c>
      <c r="D102" s="123">
        <f t="shared" si="7"/>
        <v>4</v>
      </c>
      <c r="E102" s="123">
        <f t="shared" si="8"/>
        <v>8</v>
      </c>
      <c r="F102" s="270">
        <v>1651</v>
      </c>
    </row>
    <row r="103" spans="2:6" ht="18" customHeight="1">
      <c r="B103" s="242">
        <f t="shared" si="9"/>
        <v>45025</v>
      </c>
      <c r="C103" s="123">
        <f t="shared" si="6"/>
        <v>2023</v>
      </c>
      <c r="D103" s="123">
        <f t="shared" si="7"/>
        <v>4</v>
      </c>
      <c r="E103" s="123">
        <f t="shared" si="8"/>
        <v>9</v>
      </c>
      <c r="F103" s="270">
        <v>6547</v>
      </c>
    </row>
    <row r="104" spans="2:6" ht="18" customHeight="1">
      <c r="B104" s="242">
        <f t="shared" si="9"/>
        <v>45026</v>
      </c>
      <c r="C104" s="123">
        <f t="shared" si="6"/>
        <v>2023</v>
      </c>
      <c r="D104" s="123">
        <f t="shared" si="7"/>
        <v>4</v>
      </c>
      <c r="E104" s="123">
        <f t="shared" si="8"/>
        <v>10</v>
      </c>
      <c r="F104" s="270">
        <v>10744</v>
      </c>
    </row>
    <row r="105" spans="2:6" ht="18" customHeight="1">
      <c r="B105" s="242">
        <f t="shared" si="9"/>
        <v>45027</v>
      </c>
      <c r="C105" s="123">
        <f t="shared" si="6"/>
        <v>2023</v>
      </c>
      <c r="D105" s="123">
        <f t="shared" si="7"/>
        <v>4</v>
      </c>
      <c r="E105" s="123">
        <f t="shared" si="8"/>
        <v>11</v>
      </c>
      <c r="F105" s="270">
        <v>9528</v>
      </c>
    </row>
    <row r="106" spans="2:6" ht="18" customHeight="1">
      <c r="B106" s="242">
        <f t="shared" si="9"/>
        <v>45028</v>
      </c>
      <c r="C106" s="123">
        <f t="shared" si="6"/>
        <v>2023</v>
      </c>
      <c r="D106" s="123">
        <f t="shared" si="7"/>
        <v>4</v>
      </c>
      <c r="E106" s="123">
        <f t="shared" si="8"/>
        <v>12</v>
      </c>
      <c r="F106" s="270">
        <v>3000</v>
      </c>
    </row>
    <row r="107" spans="2:6" ht="18" customHeight="1">
      <c r="B107" s="242">
        <f t="shared" si="9"/>
        <v>45029</v>
      </c>
      <c r="C107" s="123">
        <f t="shared" si="6"/>
        <v>2023</v>
      </c>
      <c r="D107" s="123">
        <f t="shared" si="7"/>
        <v>4</v>
      </c>
      <c r="E107" s="123">
        <f t="shared" si="8"/>
        <v>13</v>
      </c>
      <c r="F107" s="270">
        <v>9841</v>
      </c>
    </row>
    <row r="108" spans="2:6" ht="18" customHeight="1">
      <c r="B108" s="242">
        <f t="shared" si="9"/>
        <v>45030</v>
      </c>
      <c r="C108" s="123">
        <f t="shared" si="6"/>
        <v>2023</v>
      </c>
      <c r="D108" s="123">
        <f t="shared" si="7"/>
        <v>4</v>
      </c>
      <c r="E108" s="123">
        <f t="shared" si="8"/>
        <v>14</v>
      </c>
      <c r="F108" s="270">
        <v>1839</v>
      </c>
    </row>
    <row r="109" spans="2:6" ht="18" customHeight="1">
      <c r="B109" s="242">
        <f t="shared" si="9"/>
        <v>45031</v>
      </c>
      <c r="C109" s="123">
        <f t="shared" si="6"/>
        <v>2023</v>
      </c>
      <c r="D109" s="123">
        <f t="shared" si="7"/>
        <v>4</v>
      </c>
      <c r="E109" s="123">
        <f t="shared" si="8"/>
        <v>15</v>
      </c>
      <c r="F109" s="270">
        <v>10477</v>
      </c>
    </row>
    <row r="110" spans="2:6" ht="18" customHeight="1">
      <c r="B110" s="242">
        <f t="shared" si="9"/>
        <v>45032</v>
      </c>
      <c r="C110" s="123">
        <f t="shared" si="6"/>
        <v>2023</v>
      </c>
      <c r="D110" s="123">
        <f t="shared" si="7"/>
        <v>4</v>
      </c>
      <c r="E110" s="123">
        <f t="shared" si="8"/>
        <v>16</v>
      </c>
      <c r="F110" s="270">
        <v>3516</v>
      </c>
    </row>
    <row r="111" spans="2:6" ht="18" customHeight="1">
      <c r="B111" s="242">
        <f t="shared" si="9"/>
        <v>45033</v>
      </c>
      <c r="C111" s="123">
        <f t="shared" si="6"/>
        <v>2023</v>
      </c>
      <c r="D111" s="123">
        <f t="shared" si="7"/>
        <v>4</v>
      </c>
      <c r="E111" s="123">
        <f t="shared" si="8"/>
        <v>17</v>
      </c>
      <c r="F111" s="270">
        <v>4437</v>
      </c>
    </row>
    <row r="112" spans="2:6" ht="18" customHeight="1">
      <c r="B112" s="242">
        <f t="shared" si="9"/>
        <v>45034</v>
      </c>
      <c r="C112" s="123">
        <f t="shared" si="6"/>
        <v>2023</v>
      </c>
      <c r="D112" s="123">
        <f t="shared" si="7"/>
        <v>4</v>
      </c>
      <c r="E112" s="123">
        <f t="shared" si="8"/>
        <v>18</v>
      </c>
      <c r="F112" s="270">
        <v>5960</v>
      </c>
    </row>
    <row r="113" spans="2:6" ht="18" customHeight="1">
      <c r="B113" s="242">
        <f t="shared" si="9"/>
        <v>45035</v>
      </c>
      <c r="C113" s="123">
        <f t="shared" si="6"/>
        <v>2023</v>
      </c>
      <c r="D113" s="123">
        <f t="shared" si="7"/>
        <v>4</v>
      </c>
      <c r="E113" s="123">
        <f t="shared" si="8"/>
        <v>19</v>
      </c>
      <c r="F113" s="270">
        <v>3246</v>
      </c>
    </row>
    <row r="114" spans="2:6" ht="18" customHeight="1">
      <c r="B114" s="242">
        <f t="shared" si="9"/>
        <v>45036</v>
      </c>
      <c r="C114" s="123">
        <f t="shared" si="6"/>
        <v>2023</v>
      </c>
      <c r="D114" s="123">
        <f t="shared" si="7"/>
        <v>4</v>
      </c>
      <c r="E114" s="123">
        <f t="shared" si="8"/>
        <v>20</v>
      </c>
      <c r="F114" s="270">
        <v>9075</v>
      </c>
    </row>
    <row r="115" spans="2:6" ht="18" customHeight="1">
      <c r="B115" s="242">
        <f t="shared" si="9"/>
        <v>45037</v>
      </c>
      <c r="C115" s="123">
        <f t="shared" si="6"/>
        <v>2023</v>
      </c>
      <c r="D115" s="123">
        <f t="shared" si="7"/>
        <v>4</v>
      </c>
      <c r="E115" s="123">
        <f t="shared" si="8"/>
        <v>21</v>
      </c>
      <c r="F115" s="270">
        <v>10311</v>
      </c>
    </row>
    <row r="116" spans="2:6" ht="18" customHeight="1">
      <c r="B116" s="242">
        <f t="shared" si="9"/>
        <v>45038</v>
      </c>
      <c r="C116" s="123">
        <f t="shared" si="6"/>
        <v>2023</v>
      </c>
      <c r="D116" s="123">
        <f t="shared" si="7"/>
        <v>4</v>
      </c>
      <c r="E116" s="123">
        <f t="shared" si="8"/>
        <v>22</v>
      </c>
      <c r="F116" s="270">
        <v>4391</v>
      </c>
    </row>
    <row r="117" spans="2:6" ht="18" customHeight="1">
      <c r="B117" s="242">
        <f t="shared" si="9"/>
        <v>45039</v>
      </c>
      <c r="C117" s="123">
        <f t="shared" si="6"/>
        <v>2023</v>
      </c>
      <c r="D117" s="123">
        <f t="shared" si="7"/>
        <v>4</v>
      </c>
      <c r="E117" s="123">
        <f t="shared" si="8"/>
        <v>23</v>
      </c>
      <c r="F117" s="270">
        <v>6020</v>
      </c>
    </row>
    <row r="118" spans="2:6" ht="18" customHeight="1">
      <c r="B118" s="242">
        <f t="shared" si="9"/>
        <v>45040</v>
      </c>
      <c r="C118" s="123">
        <f t="shared" si="6"/>
        <v>2023</v>
      </c>
      <c r="D118" s="123">
        <f t="shared" si="7"/>
        <v>4</v>
      </c>
      <c r="E118" s="123">
        <f t="shared" si="8"/>
        <v>24</v>
      </c>
      <c r="F118" s="270">
        <v>6483</v>
      </c>
    </row>
    <row r="119" spans="2:6" ht="18" customHeight="1">
      <c r="B119" s="242">
        <f t="shared" si="9"/>
        <v>45041</v>
      </c>
      <c r="C119" s="123">
        <f t="shared" si="6"/>
        <v>2023</v>
      </c>
      <c r="D119" s="123">
        <f t="shared" si="7"/>
        <v>4</v>
      </c>
      <c r="E119" s="123">
        <f t="shared" si="8"/>
        <v>25</v>
      </c>
      <c r="F119" s="270">
        <v>3018</v>
      </c>
    </row>
    <row r="120" spans="2:6" ht="18" customHeight="1">
      <c r="B120" s="242">
        <f t="shared" si="9"/>
        <v>45042</v>
      </c>
      <c r="C120" s="123">
        <f t="shared" si="6"/>
        <v>2023</v>
      </c>
      <c r="D120" s="123">
        <f t="shared" si="7"/>
        <v>4</v>
      </c>
      <c r="E120" s="123">
        <f t="shared" si="8"/>
        <v>26</v>
      </c>
      <c r="F120" s="270">
        <v>2758</v>
      </c>
    </row>
    <row r="121" spans="2:6" ht="18" customHeight="1">
      <c r="B121" s="242">
        <f t="shared" si="9"/>
        <v>45043</v>
      </c>
      <c r="C121" s="123">
        <f t="shared" si="6"/>
        <v>2023</v>
      </c>
      <c r="D121" s="123">
        <f t="shared" si="7"/>
        <v>4</v>
      </c>
      <c r="E121" s="123">
        <f t="shared" si="8"/>
        <v>27</v>
      </c>
      <c r="F121" s="270">
        <v>10331</v>
      </c>
    </row>
    <row r="122" spans="2:6" ht="18" customHeight="1">
      <c r="B122" s="242">
        <f t="shared" si="9"/>
        <v>45044</v>
      </c>
      <c r="C122" s="123">
        <f t="shared" si="6"/>
        <v>2023</v>
      </c>
      <c r="D122" s="123">
        <f t="shared" si="7"/>
        <v>4</v>
      </c>
      <c r="E122" s="123">
        <f t="shared" si="8"/>
        <v>28</v>
      </c>
      <c r="F122" s="270">
        <v>10759</v>
      </c>
    </row>
    <row r="123" spans="2:6" ht="18" customHeight="1">
      <c r="B123" s="242">
        <f t="shared" si="9"/>
        <v>45045</v>
      </c>
      <c r="C123" s="123">
        <f t="shared" si="6"/>
        <v>2023</v>
      </c>
      <c r="D123" s="123">
        <f t="shared" si="7"/>
        <v>4</v>
      </c>
      <c r="E123" s="123">
        <f t="shared" si="8"/>
        <v>29</v>
      </c>
      <c r="F123" s="270">
        <v>4029</v>
      </c>
    </row>
    <row r="124" spans="2:6" ht="18" customHeight="1">
      <c r="B124" s="242">
        <f t="shared" si="9"/>
        <v>45046</v>
      </c>
      <c r="C124" s="123">
        <f t="shared" si="6"/>
        <v>2023</v>
      </c>
      <c r="D124" s="123">
        <f t="shared" si="7"/>
        <v>4</v>
      </c>
      <c r="E124" s="123">
        <f t="shared" si="8"/>
        <v>30</v>
      </c>
      <c r="F124" s="270">
        <v>4604</v>
      </c>
    </row>
    <row r="125" spans="2:6" ht="18" customHeight="1">
      <c r="B125" s="242">
        <f t="shared" si="9"/>
        <v>45047</v>
      </c>
      <c r="C125" s="123">
        <f t="shared" si="6"/>
        <v>2023</v>
      </c>
      <c r="D125" s="123">
        <f t="shared" si="7"/>
        <v>5</v>
      </c>
      <c r="E125" s="123">
        <f t="shared" si="8"/>
        <v>1</v>
      </c>
      <c r="F125" s="270">
        <v>4995</v>
      </c>
    </row>
    <row r="126" spans="2:6" ht="18" customHeight="1">
      <c r="B126" s="242">
        <f t="shared" si="9"/>
        <v>45048</v>
      </c>
      <c r="C126" s="123">
        <f t="shared" si="6"/>
        <v>2023</v>
      </c>
      <c r="D126" s="123">
        <f t="shared" si="7"/>
        <v>5</v>
      </c>
      <c r="E126" s="123">
        <f t="shared" si="8"/>
        <v>2</v>
      </c>
      <c r="F126" s="270">
        <v>7494</v>
      </c>
    </row>
    <row r="127" spans="2:6" ht="18" customHeight="1">
      <c r="B127" s="242">
        <f t="shared" si="9"/>
        <v>45049</v>
      </c>
      <c r="C127" s="123">
        <f t="shared" si="6"/>
        <v>2023</v>
      </c>
      <c r="D127" s="123">
        <f t="shared" si="7"/>
        <v>5</v>
      </c>
      <c r="E127" s="123">
        <f t="shared" si="8"/>
        <v>3</v>
      </c>
      <c r="F127" s="270">
        <v>6682</v>
      </c>
    </row>
    <row r="128" spans="2:6" ht="18" customHeight="1">
      <c r="B128" s="242">
        <f t="shared" si="9"/>
        <v>45050</v>
      </c>
      <c r="C128" s="123">
        <f t="shared" si="6"/>
        <v>2023</v>
      </c>
      <c r="D128" s="123">
        <f t="shared" si="7"/>
        <v>5</v>
      </c>
      <c r="E128" s="123">
        <f t="shared" si="8"/>
        <v>4</v>
      </c>
      <c r="F128" s="270">
        <v>10702</v>
      </c>
    </row>
    <row r="129" spans="2:6" ht="18" customHeight="1">
      <c r="B129" s="242">
        <f t="shared" si="9"/>
        <v>45051</v>
      </c>
      <c r="C129" s="123">
        <f t="shared" si="6"/>
        <v>2023</v>
      </c>
      <c r="D129" s="123">
        <f t="shared" si="7"/>
        <v>5</v>
      </c>
      <c r="E129" s="123">
        <f t="shared" si="8"/>
        <v>5</v>
      </c>
      <c r="F129" s="270">
        <v>9668</v>
      </c>
    </row>
    <row r="130" spans="2:6" ht="18" customHeight="1">
      <c r="B130" s="242">
        <f t="shared" si="9"/>
        <v>45052</v>
      </c>
      <c r="C130" s="123">
        <f t="shared" si="6"/>
        <v>2023</v>
      </c>
      <c r="D130" s="123">
        <f t="shared" si="7"/>
        <v>5</v>
      </c>
      <c r="E130" s="123">
        <f t="shared" si="8"/>
        <v>6</v>
      </c>
      <c r="F130" s="270">
        <v>10035</v>
      </c>
    </row>
    <row r="131" spans="2:6" ht="18" customHeight="1">
      <c r="B131" s="242">
        <f t="shared" si="9"/>
        <v>45053</v>
      </c>
      <c r="C131" s="123">
        <f t="shared" si="6"/>
        <v>2023</v>
      </c>
      <c r="D131" s="123">
        <f t="shared" si="7"/>
        <v>5</v>
      </c>
      <c r="E131" s="123">
        <f t="shared" si="8"/>
        <v>7</v>
      </c>
      <c r="F131" s="270">
        <v>7631</v>
      </c>
    </row>
    <row r="132" spans="2:6" ht="18" customHeight="1">
      <c r="B132" s="242">
        <f t="shared" si="9"/>
        <v>45054</v>
      </c>
      <c r="C132" s="123">
        <f t="shared" si="6"/>
        <v>2023</v>
      </c>
      <c r="D132" s="123">
        <f t="shared" si="7"/>
        <v>5</v>
      </c>
      <c r="E132" s="123">
        <f t="shared" si="8"/>
        <v>8</v>
      </c>
      <c r="F132" s="270">
        <v>4888</v>
      </c>
    </row>
    <row r="133" spans="2:6" ht="18" customHeight="1">
      <c r="B133" s="242">
        <f t="shared" si="9"/>
        <v>45055</v>
      </c>
      <c r="C133" s="123">
        <f t="shared" si="6"/>
        <v>2023</v>
      </c>
      <c r="D133" s="123">
        <f t="shared" si="7"/>
        <v>5</v>
      </c>
      <c r="E133" s="123">
        <f t="shared" si="8"/>
        <v>9</v>
      </c>
      <c r="F133" s="270">
        <v>7325</v>
      </c>
    </row>
    <row r="134" spans="2:6" ht="18" customHeight="1">
      <c r="B134" s="242">
        <f t="shared" si="9"/>
        <v>45056</v>
      </c>
      <c r="C134" s="123">
        <f t="shared" ref="C134:C197" si="10">YEAR(B134)</f>
        <v>2023</v>
      </c>
      <c r="D134" s="123">
        <f t="shared" ref="D134:D197" si="11">MONTH(B134)</f>
        <v>5</v>
      </c>
      <c r="E134" s="123">
        <f t="shared" ref="E134:E197" si="12">DAY(B134)</f>
        <v>10</v>
      </c>
      <c r="F134" s="270">
        <v>10314</v>
      </c>
    </row>
    <row r="135" spans="2:6" ht="18" customHeight="1">
      <c r="B135" s="242">
        <f t="shared" ref="B135:B198" si="13">+B134+1</f>
        <v>45057</v>
      </c>
      <c r="C135" s="123">
        <f t="shared" si="10"/>
        <v>2023</v>
      </c>
      <c r="D135" s="123">
        <f t="shared" si="11"/>
        <v>5</v>
      </c>
      <c r="E135" s="123">
        <f t="shared" si="12"/>
        <v>11</v>
      </c>
      <c r="F135" s="270">
        <v>7035</v>
      </c>
    </row>
    <row r="136" spans="2:6" ht="18" customHeight="1">
      <c r="B136" s="242">
        <f t="shared" si="13"/>
        <v>45058</v>
      </c>
      <c r="C136" s="123">
        <f t="shared" si="10"/>
        <v>2023</v>
      </c>
      <c r="D136" s="123">
        <f t="shared" si="11"/>
        <v>5</v>
      </c>
      <c r="E136" s="123">
        <f t="shared" si="12"/>
        <v>12</v>
      </c>
      <c r="F136" s="270">
        <v>9792</v>
      </c>
    </row>
    <row r="137" spans="2:6" ht="18" customHeight="1">
      <c r="B137" s="242">
        <f t="shared" si="13"/>
        <v>45059</v>
      </c>
      <c r="C137" s="123">
        <f t="shared" si="10"/>
        <v>2023</v>
      </c>
      <c r="D137" s="123">
        <f t="shared" si="11"/>
        <v>5</v>
      </c>
      <c r="E137" s="123">
        <f t="shared" si="12"/>
        <v>13</v>
      </c>
      <c r="F137" s="270">
        <v>6386</v>
      </c>
    </row>
    <row r="138" spans="2:6" ht="18" customHeight="1">
      <c r="B138" s="242">
        <f t="shared" si="13"/>
        <v>45060</v>
      </c>
      <c r="C138" s="123">
        <f t="shared" si="10"/>
        <v>2023</v>
      </c>
      <c r="D138" s="123">
        <f t="shared" si="11"/>
        <v>5</v>
      </c>
      <c r="E138" s="123">
        <f t="shared" si="12"/>
        <v>14</v>
      </c>
      <c r="F138" s="270">
        <v>2592</v>
      </c>
    </row>
    <row r="139" spans="2:6" ht="18" customHeight="1">
      <c r="B139" s="242">
        <f t="shared" si="13"/>
        <v>45061</v>
      </c>
      <c r="C139" s="123">
        <f t="shared" si="10"/>
        <v>2023</v>
      </c>
      <c r="D139" s="123">
        <f t="shared" si="11"/>
        <v>5</v>
      </c>
      <c r="E139" s="123">
        <f t="shared" si="12"/>
        <v>15</v>
      </c>
      <c r="F139" s="270">
        <v>9495</v>
      </c>
    </row>
    <row r="140" spans="2:6" ht="18" customHeight="1">
      <c r="B140" s="242">
        <f t="shared" si="13"/>
        <v>45062</v>
      </c>
      <c r="C140" s="123">
        <f t="shared" si="10"/>
        <v>2023</v>
      </c>
      <c r="D140" s="123">
        <f t="shared" si="11"/>
        <v>5</v>
      </c>
      <c r="E140" s="123">
        <f t="shared" si="12"/>
        <v>16</v>
      </c>
      <c r="F140" s="270">
        <v>7099</v>
      </c>
    </row>
    <row r="141" spans="2:6" ht="18" customHeight="1">
      <c r="B141" s="242">
        <f t="shared" si="13"/>
        <v>45063</v>
      </c>
      <c r="C141" s="123">
        <f t="shared" si="10"/>
        <v>2023</v>
      </c>
      <c r="D141" s="123">
        <f t="shared" si="11"/>
        <v>5</v>
      </c>
      <c r="E141" s="123">
        <f t="shared" si="12"/>
        <v>17</v>
      </c>
      <c r="F141" s="270">
        <v>6629</v>
      </c>
    </row>
    <row r="142" spans="2:6" ht="18" customHeight="1">
      <c r="B142" s="242">
        <f t="shared" si="13"/>
        <v>45064</v>
      </c>
      <c r="C142" s="123">
        <f t="shared" si="10"/>
        <v>2023</v>
      </c>
      <c r="D142" s="123">
        <f t="shared" si="11"/>
        <v>5</v>
      </c>
      <c r="E142" s="123">
        <f t="shared" si="12"/>
        <v>18</v>
      </c>
      <c r="F142" s="270">
        <v>2100</v>
      </c>
    </row>
    <row r="143" spans="2:6" ht="18" customHeight="1">
      <c r="B143" s="242">
        <f t="shared" si="13"/>
        <v>45065</v>
      </c>
      <c r="C143" s="123">
        <f t="shared" si="10"/>
        <v>2023</v>
      </c>
      <c r="D143" s="123">
        <f t="shared" si="11"/>
        <v>5</v>
      </c>
      <c r="E143" s="123">
        <f t="shared" si="12"/>
        <v>19</v>
      </c>
      <c r="F143" s="270">
        <v>10711</v>
      </c>
    </row>
    <row r="144" spans="2:6" ht="18" customHeight="1">
      <c r="B144" s="242">
        <f t="shared" si="13"/>
        <v>45066</v>
      </c>
      <c r="C144" s="123">
        <f t="shared" si="10"/>
        <v>2023</v>
      </c>
      <c r="D144" s="123">
        <f t="shared" si="11"/>
        <v>5</v>
      </c>
      <c r="E144" s="123">
        <f t="shared" si="12"/>
        <v>20</v>
      </c>
      <c r="F144" s="270">
        <v>1590</v>
      </c>
    </row>
    <row r="145" spans="2:6" ht="18" customHeight="1">
      <c r="B145" s="242">
        <f t="shared" si="13"/>
        <v>45067</v>
      </c>
      <c r="C145" s="123">
        <f t="shared" si="10"/>
        <v>2023</v>
      </c>
      <c r="D145" s="123">
        <f t="shared" si="11"/>
        <v>5</v>
      </c>
      <c r="E145" s="123">
        <f t="shared" si="12"/>
        <v>21</v>
      </c>
      <c r="F145" s="270">
        <v>4135</v>
      </c>
    </row>
    <row r="146" spans="2:6" ht="18" customHeight="1">
      <c r="B146" s="242">
        <f t="shared" si="13"/>
        <v>45068</v>
      </c>
      <c r="C146" s="123">
        <f t="shared" si="10"/>
        <v>2023</v>
      </c>
      <c r="D146" s="123">
        <f t="shared" si="11"/>
        <v>5</v>
      </c>
      <c r="E146" s="123">
        <f t="shared" si="12"/>
        <v>22</v>
      </c>
      <c r="F146" s="270">
        <v>4764</v>
      </c>
    </row>
    <row r="147" spans="2:6" ht="18" customHeight="1">
      <c r="B147" s="242">
        <f t="shared" si="13"/>
        <v>45069</v>
      </c>
      <c r="C147" s="123">
        <f t="shared" si="10"/>
        <v>2023</v>
      </c>
      <c r="D147" s="123">
        <f t="shared" si="11"/>
        <v>5</v>
      </c>
      <c r="E147" s="123">
        <f t="shared" si="12"/>
        <v>23</v>
      </c>
      <c r="F147" s="270">
        <v>10596</v>
      </c>
    </row>
    <row r="148" spans="2:6" ht="18" customHeight="1">
      <c r="B148" s="242">
        <f t="shared" si="13"/>
        <v>45070</v>
      </c>
      <c r="C148" s="123">
        <f t="shared" si="10"/>
        <v>2023</v>
      </c>
      <c r="D148" s="123">
        <f t="shared" si="11"/>
        <v>5</v>
      </c>
      <c r="E148" s="123">
        <f t="shared" si="12"/>
        <v>24</v>
      </c>
      <c r="F148" s="270">
        <v>6794</v>
      </c>
    </row>
    <row r="149" spans="2:6" ht="18" customHeight="1">
      <c r="B149" s="242">
        <f t="shared" si="13"/>
        <v>45071</v>
      </c>
      <c r="C149" s="123">
        <f t="shared" si="10"/>
        <v>2023</v>
      </c>
      <c r="D149" s="123">
        <f t="shared" si="11"/>
        <v>5</v>
      </c>
      <c r="E149" s="123">
        <f t="shared" si="12"/>
        <v>25</v>
      </c>
      <c r="F149" s="270">
        <v>4757</v>
      </c>
    </row>
    <row r="150" spans="2:6" ht="18" customHeight="1">
      <c r="B150" s="242">
        <f t="shared" si="13"/>
        <v>45072</v>
      </c>
      <c r="C150" s="123">
        <f t="shared" si="10"/>
        <v>2023</v>
      </c>
      <c r="D150" s="123">
        <f t="shared" si="11"/>
        <v>5</v>
      </c>
      <c r="E150" s="123">
        <f t="shared" si="12"/>
        <v>26</v>
      </c>
      <c r="F150" s="270">
        <v>3023</v>
      </c>
    </row>
    <row r="151" spans="2:6" ht="18" customHeight="1">
      <c r="B151" s="242">
        <f t="shared" si="13"/>
        <v>45073</v>
      </c>
      <c r="C151" s="123">
        <f t="shared" si="10"/>
        <v>2023</v>
      </c>
      <c r="D151" s="123">
        <f t="shared" si="11"/>
        <v>5</v>
      </c>
      <c r="E151" s="123">
        <f t="shared" si="12"/>
        <v>27</v>
      </c>
      <c r="F151" s="270">
        <v>8841</v>
      </c>
    </row>
    <row r="152" spans="2:6" ht="18" customHeight="1">
      <c r="B152" s="242">
        <f t="shared" si="13"/>
        <v>45074</v>
      </c>
      <c r="C152" s="123">
        <f t="shared" si="10"/>
        <v>2023</v>
      </c>
      <c r="D152" s="123">
        <f t="shared" si="11"/>
        <v>5</v>
      </c>
      <c r="E152" s="123">
        <f t="shared" si="12"/>
        <v>28</v>
      </c>
      <c r="F152" s="270">
        <v>7966</v>
      </c>
    </row>
    <row r="153" spans="2:6" ht="18" customHeight="1">
      <c r="B153" s="242">
        <f t="shared" si="13"/>
        <v>45075</v>
      </c>
      <c r="C153" s="123">
        <f t="shared" si="10"/>
        <v>2023</v>
      </c>
      <c r="D153" s="123">
        <f t="shared" si="11"/>
        <v>5</v>
      </c>
      <c r="E153" s="123">
        <f t="shared" si="12"/>
        <v>29</v>
      </c>
      <c r="F153" s="270">
        <v>4848</v>
      </c>
    </row>
    <row r="154" spans="2:6" ht="18" customHeight="1">
      <c r="B154" s="242">
        <f t="shared" si="13"/>
        <v>45076</v>
      </c>
      <c r="C154" s="123">
        <f t="shared" si="10"/>
        <v>2023</v>
      </c>
      <c r="D154" s="123">
        <f t="shared" si="11"/>
        <v>5</v>
      </c>
      <c r="E154" s="123">
        <f t="shared" si="12"/>
        <v>30</v>
      </c>
      <c r="F154" s="270">
        <v>10722</v>
      </c>
    </row>
    <row r="155" spans="2:6" ht="18" customHeight="1">
      <c r="B155" s="242">
        <f t="shared" si="13"/>
        <v>45077</v>
      </c>
      <c r="C155" s="123">
        <f t="shared" si="10"/>
        <v>2023</v>
      </c>
      <c r="D155" s="123">
        <f t="shared" si="11"/>
        <v>5</v>
      </c>
      <c r="E155" s="123">
        <f t="shared" si="12"/>
        <v>31</v>
      </c>
      <c r="F155" s="270">
        <v>7158</v>
      </c>
    </row>
    <row r="156" spans="2:6" ht="18" customHeight="1">
      <c r="B156" s="242">
        <f t="shared" si="13"/>
        <v>45078</v>
      </c>
      <c r="C156" s="123">
        <f t="shared" si="10"/>
        <v>2023</v>
      </c>
      <c r="D156" s="123">
        <f t="shared" si="11"/>
        <v>6</v>
      </c>
      <c r="E156" s="123">
        <f t="shared" si="12"/>
        <v>1</v>
      </c>
      <c r="F156" s="270">
        <v>2275</v>
      </c>
    </row>
    <row r="157" spans="2:6" ht="18" customHeight="1">
      <c r="B157" s="242">
        <f t="shared" si="13"/>
        <v>45079</v>
      </c>
      <c r="C157" s="123">
        <f t="shared" si="10"/>
        <v>2023</v>
      </c>
      <c r="D157" s="123">
        <f t="shared" si="11"/>
        <v>6</v>
      </c>
      <c r="E157" s="123">
        <f t="shared" si="12"/>
        <v>2</v>
      </c>
      <c r="F157" s="270">
        <v>6369</v>
      </c>
    </row>
    <row r="158" spans="2:6" ht="18" customHeight="1">
      <c r="B158" s="242">
        <f t="shared" si="13"/>
        <v>45080</v>
      </c>
      <c r="C158" s="123">
        <f t="shared" si="10"/>
        <v>2023</v>
      </c>
      <c r="D158" s="123">
        <f t="shared" si="11"/>
        <v>6</v>
      </c>
      <c r="E158" s="123">
        <f t="shared" si="12"/>
        <v>3</v>
      </c>
      <c r="F158" s="270">
        <v>6580</v>
      </c>
    </row>
    <row r="159" spans="2:6" ht="18" customHeight="1">
      <c r="B159" s="242">
        <f t="shared" si="13"/>
        <v>45081</v>
      </c>
      <c r="C159" s="123">
        <f t="shared" si="10"/>
        <v>2023</v>
      </c>
      <c r="D159" s="123">
        <f t="shared" si="11"/>
        <v>6</v>
      </c>
      <c r="E159" s="123">
        <f t="shared" si="12"/>
        <v>4</v>
      </c>
      <c r="F159" s="270">
        <v>7120</v>
      </c>
    </row>
    <row r="160" spans="2:6" ht="18" customHeight="1">
      <c r="B160" s="242">
        <f t="shared" si="13"/>
        <v>45082</v>
      </c>
      <c r="C160" s="123">
        <f t="shared" si="10"/>
        <v>2023</v>
      </c>
      <c r="D160" s="123">
        <f t="shared" si="11"/>
        <v>6</v>
      </c>
      <c r="E160" s="123">
        <f t="shared" si="12"/>
        <v>5</v>
      </c>
      <c r="F160" s="270">
        <v>1494</v>
      </c>
    </row>
    <row r="161" spans="2:6" ht="18" customHeight="1">
      <c r="B161" s="242">
        <f t="shared" si="13"/>
        <v>45083</v>
      </c>
      <c r="C161" s="123">
        <f t="shared" si="10"/>
        <v>2023</v>
      </c>
      <c r="D161" s="123">
        <f t="shared" si="11"/>
        <v>6</v>
      </c>
      <c r="E161" s="123">
        <f t="shared" si="12"/>
        <v>6</v>
      </c>
      <c r="F161" s="270">
        <v>1985</v>
      </c>
    </row>
    <row r="162" spans="2:6" ht="18" customHeight="1">
      <c r="B162" s="242">
        <f t="shared" si="13"/>
        <v>45084</v>
      </c>
      <c r="C162" s="123">
        <f t="shared" si="10"/>
        <v>2023</v>
      </c>
      <c r="D162" s="123">
        <f t="shared" si="11"/>
        <v>6</v>
      </c>
      <c r="E162" s="123">
        <f t="shared" si="12"/>
        <v>7</v>
      </c>
      <c r="F162" s="270">
        <v>6316</v>
      </c>
    </row>
    <row r="163" spans="2:6" ht="18" customHeight="1">
      <c r="B163" s="242">
        <f t="shared" si="13"/>
        <v>45085</v>
      </c>
      <c r="C163" s="123">
        <f t="shared" si="10"/>
        <v>2023</v>
      </c>
      <c r="D163" s="123">
        <f t="shared" si="11"/>
        <v>6</v>
      </c>
      <c r="E163" s="123">
        <f t="shared" si="12"/>
        <v>8</v>
      </c>
      <c r="F163" s="270">
        <v>7878</v>
      </c>
    </row>
    <row r="164" spans="2:6" ht="18" customHeight="1">
      <c r="B164" s="242">
        <f t="shared" si="13"/>
        <v>45086</v>
      </c>
      <c r="C164" s="123">
        <f t="shared" si="10"/>
        <v>2023</v>
      </c>
      <c r="D164" s="123">
        <f t="shared" si="11"/>
        <v>6</v>
      </c>
      <c r="E164" s="123">
        <f t="shared" si="12"/>
        <v>9</v>
      </c>
      <c r="F164" s="270">
        <v>1650</v>
      </c>
    </row>
    <row r="165" spans="2:6" ht="18" customHeight="1">
      <c r="B165" s="242">
        <f t="shared" si="13"/>
        <v>45087</v>
      </c>
      <c r="C165" s="123">
        <f t="shared" si="10"/>
        <v>2023</v>
      </c>
      <c r="D165" s="123">
        <f t="shared" si="11"/>
        <v>6</v>
      </c>
      <c r="E165" s="123">
        <f t="shared" si="12"/>
        <v>10</v>
      </c>
      <c r="F165" s="270">
        <v>4811</v>
      </c>
    </row>
    <row r="166" spans="2:6" ht="18" customHeight="1">
      <c r="B166" s="242">
        <f t="shared" si="13"/>
        <v>45088</v>
      </c>
      <c r="C166" s="123">
        <f t="shared" si="10"/>
        <v>2023</v>
      </c>
      <c r="D166" s="123">
        <f t="shared" si="11"/>
        <v>6</v>
      </c>
      <c r="E166" s="123">
        <f t="shared" si="12"/>
        <v>11</v>
      </c>
      <c r="F166" s="270">
        <v>3517</v>
      </c>
    </row>
    <row r="167" spans="2:6" ht="18" customHeight="1">
      <c r="B167" s="242">
        <f t="shared" si="13"/>
        <v>45089</v>
      </c>
      <c r="C167" s="123">
        <f t="shared" si="10"/>
        <v>2023</v>
      </c>
      <c r="D167" s="123">
        <f t="shared" si="11"/>
        <v>6</v>
      </c>
      <c r="E167" s="123">
        <f t="shared" si="12"/>
        <v>12</v>
      </c>
      <c r="F167" s="270">
        <v>4114</v>
      </c>
    </row>
    <row r="168" spans="2:6" ht="18" customHeight="1">
      <c r="B168" s="242">
        <f t="shared" si="13"/>
        <v>45090</v>
      </c>
      <c r="C168" s="123">
        <f t="shared" si="10"/>
        <v>2023</v>
      </c>
      <c r="D168" s="123">
        <f t="shared" si="11"/>
        <v>6</v>
      </c>
      <c r="E168" s="123">
        <f t="shared" si="12"/>
        <v>13</v>
      </c>
      <c r="F168" s="270">
        <v>9565</v>
      </c>
    </row>
    <row r="169" spans="2:6" ht="18" customHeight="1">
      <c r="B169" s="242">
        <f t="shared" si="13"/>
        <v>45091</v>
      </c>
      <c r="C169" s="123">
        <f t="shared" si="10"/>
        <v>2023</v>
      </c>
      <c r="D169" s="123">
        <f t="shared" si="11"/>
        <v>6</v>
      </c>
      <c r="E169" s="123">
        <f t="shared" si="12"/>
        <v>14</v>
      </c>
      <c r="F169" s="270">
        <v>11042</v>
      </c>
    </row>
    <row r="170" spans="2:6" ht="18" customHeight="1">
      <c r="B170" s="242">
        <f t="shared" si="13"/>
        <v>45092</v>
      </c>
      <c r="C170" s="123">
        <f t="shared" si="10"/>
        <v>2023</v>
      </c>
      <c r="D170" s="123">
        <f t="shared" si="11"/>
        <v>6</v>
      </c>
      <c r="E170" s="123">
        <f t="shared" si="12"/>
        <v>15</v>
      </c>
      <c r="F170" s="270">
        <v>10023</v>
      </c>
    </row>
    <row r="171" spans="2:6" ht="18" customHeight="1">
      <c r="B171" s="242">
        <f t="shared" si="13"/>
        <v>45093</v>
      </c>
      <c r="C171" s="123">
        <f t="shared" si="10"/>
        <v>2023</v>
      </c>
      <c r="D171" s="123">
        <f t="shared" si="11"/>
        <v>6</v>
      </c>
      <c r="E171" s="123">
        <f t="shared" si="12"/>
        <v>16</v>
      </c>
      <c r="F171" s="270">
        <v>10700</v>
      </c>
    </row>
    <row r="172" spans="2:6" ht="18" customHeight="1">
      <c r="B172" s="242">
        <f t="shared" si="13"/>
        <v>45094</v>
      </c>
      <c r="C172" s="123">
        <f t="shared" si="10"/>
        <v>2023</v>
      </c>
      <c r="D172" s="123">
        <f t="shared" si="11"/>
        <v>6</v>
      </c>
      <c r="E172" s="123">
        <f t="shared" si="12"/>
        <v>17</v>
      </c>
      <c r="F172" s="270">
        <v>2125</v>
      </c>
    </row>
    <row r="173" spans="2:6" ht="18" customHeight="1">
      <c r="B173" s="242">
        <f t="shared" si="13"/>
        <v>45095</v>
      </c>
      <c r="C173" s="123">
        <f t="shared" si="10"/>
        <v>2023</v>
      </c>
      <c r="D173" s="123">
        <f t="shared" si="11"/>
        <v>6</v>
      </c>
      <c r="E173" s="123">
        <f t="shared" si="12"/>
        <v>18</v>
      </c>
      <c r="F173" s="270">
        <v>10758</v>
      </c>
    </row>
    <row r="174" spans="2:6" ht="18" customHeight="1">
      <c r="B174" s="242">
        <f t="shared" si="13"/>
        <v>45096</v>
      </c>
      <c r="C174" s="123">
        <f t="shared" si="10"/>
        <v>2023</v>
      </c>
      <c r="D174" s="123">
        <f t="shared" si="11"/>
        <v>6</v>
      </c>
      <c r="E174" s="123">
        <f t="shared" si="12"/>
        <v>19</v>
      </c>
      <c r="F174" s="270">
        <v>11069</v>
      </c>
    </row>
    <row r="175" spans="2:6" ht="18" customHeight="1">
      <c r="B175" s="242">
        <f t="shared" si="13"/>
        <v>45097</v>
      </c>
      <c r="C175" s="123">
        <f t="shared" si="10"/>
        <v>2023</v>
      </c>
      <c r="D175" s="123">
        <f t="shared" si="11"/>
        <v>6</v>
      </c>
      <c r="E175" s="123">
        <f t="shared" si="12"/>
        <v>20</v>
      </c>
      <c r="F175" s="270">
        <v>6271</v>
      </c>
    </row>
    <row r="176" spans="2:6" ht="18" customHeight="1">
      <c r="B176" s="242">
        <f t="shared" si="13"/>
        <v>45098</v>
      </c>
      <c r="C176" s="123">
        <f t="shared" si="10"/>
        <v>2023</v>
      </c>
      <c r="D176" s="123">
        <f t="shared" si="11"/>
        <v>6</v>
      </c>
      <c r="E176" s="123">
        <f t="shared" si="12"/>
        <v>21</v>
      </c>
      <c r="F176" s="270">
        <v>6058</v>
      </c>
    </row>
    <row r="177" spans="2:6" ht="18" customHeight="1">
      <c r="B177" s="242">
        <f t="shared" si="13"/>
        <v>45099</v>
      </c>
      <c r="C177" s="123">
        <f t="shared" si="10"/>
        <v>2023</v>
      </c>
      <c r="D177" s="123">
        <f t="shared" si="11"/>
        <v>6</v>
      </c>
      <c r="E177" s="123">
        <f t="shared" si="12"/>
        <v>22</v>
      </c>
      <c r="F177" s="270">
        <v>5879</v>
      </c>
    </row>
    <row r="178" spans="2:6" ht="18" customHeight="1">
      <c r="B178" s="242">
        <f t="shared" si="13"/>
        <v>45100</v>
      </c>
      <c r="C178" s="123">
        <f t="shared" si="10"/>
        <v>2023</v>
      </c>
      <c r="D178" s="123">
        <f t="shared" si="11"/>
        <v>6</v>
      </c>
      <c r="E178" s="123">
        <f t="shared" si="12"/>
        <v>23</v>
      </c>
      <c r="F178" s="270">
        <v>6552</v>
      </c>
    </row>
    <row r="179" spans="2:6" ht="18" customHeight="1">
      <c r="B179" s="242">
        <f t="shared" si="13"/>
        <v>45101</v>
      </c>
      <c r="C179" s="123">
        <f t="shared" si="10"/>
        <v>2023</v>
      </c>
      <c r="D179" s="123">
        <f t="shared" si="11"/>
        <v>6</v>
      </c>
      <c r="E179" s="123">
        <f t="shared" si="12"/>
        <v>24</v>
      </c>
      <c r="F179" s="270">
        <v>5384</v>
      </c>
    </row>
    <row r="180" spans="2:6" ht="18" customHeight="1">
      <c r="B180" s="242">
        <f t="shared" si="13"/>
        <v>45102</v>
      </c>
      <c r="C180" s="123">
        <f t="shared" si="10"/>
        <v>2023</v>
      </c>
      <c r="D180" s="123">
        <f t="shared" si="11"/>
        <v>6</v>
      </c>
      <c r="E180" s="123">
        <f t="shared" si="12"/>
        <v>25</v>
      </c>
      <c r="F180" s="270">
        <v>9097</v>
      </c>
    </row>
    <row r="181" spans="2:6" ht="18" customHeight="1">
      <c r="B181" s="242">
        <f t="shared" si="13"/>
        <v>45103</v>
      </c>
      <c r="C181" s="123">
        <f t="shared" si="10"/>
        <v>2023</v>
      </c>
      <c r="D181" s="123">
        <f t="shared" si="11"/>
        <v>6</v>
      </c>
      <c r="E181" s="123">
        <f t="shared" si="12"/>
        <v>26</v>
      </c>
      <c r="F181" s="270">
        <v>6715</v>
      </c>
    </row>
    <row r="182" spans="2:6" ht="18" customHeight="1">
      <c r="B182" s="242">
        <f t="shared" si="13"/>
        <v>45104</v>
      </c>
      <c r="C182" s="123">
        <f t="shared" si="10"/>
        <v>2023</v>
      </c>
      <c r="D182" s="123">
        <f t="shared" si="11"/>
        <v>6</v>
      </c>
      <c r="E182" s="123">
        <f t="shared" si="12"/>
        <v>27</v>
      </c>
      <c r="F182" s="270">
        <v>10528</v>
      </c>
    </row>
    <row r="183" spans="2:6" ht="18" customHeight="1">
      <c r="B183" s="242">
        <f t="shared" si="13"/>
        <v>45105</v>
      </c>
      <c r="C183" s="123">
        <f t="shared" si="10"/>
        <v>2023</v>
      </c>
      <c r="D183" s="123">
        <f t="shared" si="11"/>
        <v>6</v>
      </c>
      <c r="E183" s="123">
        <f t="shared" si="12"/>
        <v>28</v>
      </c>
      <c r="F183" s="270">
        <v>6678</v>
      </c>
    </row>
    <row r="184" spans="2:6" ht="18" customHeight="1">
      <c r="B184" s="242">
        <f t="shared" si="13"/>
        <v>45106</v>
      </c>
      <c r="C184" s="123">
        <f t="shared" si="10"/>
        <v>2023</v>
      </c>
      <c r="D184" s="123">
        <f t="shared" si="11"/>
        <v>6</v>
      </c>
      <c r="E184" s="123">
        <f t="shared" si="12"/>
        <v>29</v>
      </c>
      <c r="F184" s="270">
        <v>4555</v>
      </c>
    </row>
    <row r="185" spans="2:6" ht="18" customHeight="1">
      <c r="B185" s="242">
        <f t="shared" si="13"/>
        <v>45107</v>
      </c>
      <c r="C185" s="123">
        <f t="shared" si="10"/>
        <v>2023</v>
      </c>
      <c r="D185" s="123">
        <f t="shared" si="11"/>
        <v>6</v>
      </c>
      <c r="E185" s="123">
        <f t="shared" si="12"/>
        <v>30</v>
      </c>
      <c r="F185" s="270">
        <v>3290</v>
      </c>
    </row>
    <row r="186" spans="2:6" ht="18" customHeight="1">
      <c r="B186" s="242">
        <f t="shared" si="13"/>
        <v>45108</v>
      </c>
      <c r="C186" s="123">
        <f t="shared" si="10"/>
        <v>2023</v>
      </c>
      <c r="D186" s="123">
        <f t="shared" si="11"/>
        <v>7</v>
      </c>
      <c r="E186" s="123">
        <f t="shared" si="12"/>
        <v>1</v>
      </c>
      <c r="F186" s="270">
        <v>2462</v>
      </c>
    </row>
    <row r="187" spans="2:6" ht="18" customHeight="1">
      <c r="B187" s="242">
        <f t="shared" si="13"/>
        <v>45109</v>
      </c>
      <c r="C187" s="123">
        <f t="shared" si="10"/>
        <v>2023</v>
      </c>
      <c r="D187" s="123">
        <f t="shared" si="11"/>
        <v>7</v>
      </c>
      <c r="E187" s="123">
        <f t="shared" si="12"/>
        <v>2</v>
      </c>
      <c r="F187" s="270">
        <v>2416</v>
      </c>
    </row>
    <row r="188" spans="2:6" ht="18" customHeight="1">
      <c r="B188" s="242">
        <f t="shared" si="13"/>
        <v>45110</v>
      </c>
      <c r="C188" s="123">
        <f t="shared" si="10"/>
        <v>2023</v>
      </c>
      <c r="D188" s="123">
        <f t="shared" si="11"/>
        <v>7</v>
      </c>
      <c r="E188" s="123">
        <f t="shared" si="12"/>
        <v>3</v>
      </c>
      <c r="F188" s="270">
        <v>1840</v>
      </c>
    </row>
    <row r="189" spans="2:6" ht="18" customHeight="1">
      <c r="B189" s="242">
        <f t="shared" si="13"/>
        <v>45111</v>
      </c>
      <c r="C189" s="123">
        <f t="shared" si="10"/>
        <v>2023</v>
      </c>
      <c r="D189" s="123">
        <f t="shared" si="11"/>
        <v>7</v>
      </c>
      <c r="E189" s="123">
        <f t="shared" si="12"/>
        <v>4</v>
      </c>
      <c r="F189" s="270">
        <v>2100</v>
      </c>
    </row>
    <row r="190" spans="2:6" ht="18" customHeight="1">
      <c r="B190" s="242">
        <f t="shared" si="13"/>
        <v>45112</v>
      </c>
      <c r="C190" s="123">
        <f t="shared" si="10"/>
        <v>2023</v>
      </c>
      <c r="D190" s="123">
        <f t="shared" si="11"/>
        <v>7</v>
      </c>
      <c r="E190" s="123">
        <f t="shared" si="12"/>
        <v>5</v>
      </c>
      <c r="F190" s="270">
        <v>7213</v>
      </c>
    </row>
    <row r="191" spans="2:6" ht="18" customHeight="1">
      <c r="B191" s="242">
        <f t="shared" si="13"/>
        <v>45113</v>
      </c>
      <c r="C191" s="123">
        <f t="shared" si="10"/>
        <v>2023</v>
      </c>
      <c r="D191" s="123">
        <f t="shared" si="11"/>
        <v>7</v>
      </c>
      <c r="E191" s="123">
        <f t="shared" si="12"/>
        <v>6</v>
      </c>
      <c r="F191" s="270">
        <v>6128</v>
      </c>
    </row>
    <row r="192" spans="2:6" ht="18" customHeight="1">
      <c r="B192" s="242">
        <f t="shared" si="13"/>
        <v>45114</v>
      </c>
      <c r="C192" s="123">
        <f t="shared" si="10"/>
        <v>2023</v>
      </c>
      <c r="D192" s="123">
        <f t="shared" si="11"/>
        <v>7</v>
      </c>
      <c r="E192" s="123">
        <f t="shared" si="12"/>
        <v>7</v>
      </c>
      <c r="F192" s="270">
        <v>4967</v>
      </c>
    </row>
    <row r="193" spans="2:6" ht="18" customHeight="1">
      <c r="B193" s="242">
        <f t="shared" si="13"/>
        <v>45115</v>
      </c>
      <c r="C193" s="123">
        <f t="shared" si="10"/>
        <v>2023</v>
      </c>
      <c r="D193" s="123">
        <f t="shared" si="11"/>
        <v>7</v>
      </c>
      <c r="E193" s="123">
        <f t="shared" si="12"/>
        <v>8</v>
      </c>
      <c r="F193" s="270">
        <v>3117</v>
      </c>
    </row>
    <row r="194" spans="2:6" ht="18" customHeight="1">
      <c r="B194" s="242">
        <f t="shared" si="13"/>
        <v>45116</v>
      </c>
      <c r="C194" s="123">
        <f t="shared" si="10"/>
        <v>2023</v>
      </c>
      <c r="D194" s="123">
        <f t="shared" si="11"/>
        <v>7</v>
      </c>
      <c r="E194" s="123">
        <f t="shared" si="12"/>
        <v>9</v>
      </c>
      <c r="F194" s="270">
        <v>7008</v>
      </c>
    </row>
    <row r="195" spans="2:6" ht="18" customHeight="1">
      <c r="B195" s="242">
        <f t="shared" si="13"/>
        <v>45117</v>
      </c>
      <c r="C195" s="123">
        <f t="shared" si="10"/>
        <v>2023</v>
      </c>
      <c r="D195" s="123">
        <f t="shared" si="11"/>
        <v>7</v>
      </c>
      <c r="E195" s="123">
        <f t="shared" si="12"/>
        <v>10</v>
      </c>
      <c r="F195" s="270">
        <v>9340</v>
      </c>
    </row>
    <row r="196" spans="2:6" ht="18" customHeight="1">
      <c r="B196" s="242">
        <f t="shared" si="13"/>
        <v>45118</v>
      </c>
      <c r="C196" s="123">
        <f t="shared" si="10"/>
        <v>2023</v>
      </c>
      <c r="D196" s="123">
        <f t="shared" si="11"/>
        <v>7</v>
      </c>
      <c r="E196" s="123">
        <f t="shared" si="12"/>
        <v>11</v>
      </c>
      <c r="F196" s="270">
        <v>10374</v>
      </c>
    </row>
    <row r="197" spans="2:6" ht="18" customHeight="1">
      <c r="B197" s="242">
        <f t="shared" si="13"/>
        <v>45119</v>
      </c>
      <c r="C197" s="123">
        <f t="shared" si="10"/>
        <v>2023</v>
      </c>
      <c r="D197" s="123">
        <f t="shared" si="11"/>
        <v>7</v>
      </c>
      <c r="E197" s="123">
        <f t="shared" si="12"/>
        <v>12</v>
      </c>
      <c r="F197" s="270">
        <v>4132</v>
      </c>
    </row>
    <row r="198" spans="2:6" ht="18" customHeight="1">
      <c r="B198" s="242">
        <f t="shared" si="13"/>
        <v>45120</v>
      </c>
      <c r="C198" s="123">
        <f t="shared" ref="C198:C261" si="14">YEAR(B198)</f>
        <v>2023</v>
      </c>
      <c r="D198" s="123">
        <f t="shared" ref="D198:D261" si="15">MONTH(B198)</f>
        <v>7</v>
      </c>
      <c r="E198" s="123">
        <f t="shared" ref="E198:E261" si="16">DAY(B198)</f>
        <v>13</v>
      </c>
      <c r="F198" s="270">
        <v>3094</v>
      </c>
    </row>
    <row r="199" spans="2:6" ht="18" customHeight="1">
      <c r="B199" s="242">
        <f t="shared" ref="B199:B262" si="17">+B198+1</f>
        <v>45121</v>
      </c>
      <c r="C199" s="123">
        <f t="shared" si="14"/>
        <v>2023</v>
      </c>
      <c r="D199" s="123">
        <f t="shared" si="15"/>
        <v>7</v>
      </c>
      <c r="E199" s="123">
        <f t="shared" si="16"/>
        <v>14</v>
      </c>
      <c r="F199" s="270">
        <v>4219</v>
      </c>
    </row>
    <row r="200" spans="2:6" ht="18" customHeight="1">
      <c r="B200" s="242">
        <f t="shared" si="17"/>
        <v>45122</v>
      </c>
      <c r="C200" s="123">
        <f t="shared" si="14"/>
        <v>2023</v>
      </c>
      <c r="D200" s="123">
        <f t="shared" si="15"/>
        <v>7</v>
      </c>
      <c r="E200" s="123">
        <f t="shared" si="16"/>
        <v>15</v>
      </c>
      <c r="F200" s="270">
        <v>5752</v>
      </c>
    </row>
    <row r="201" spans="2:6" ht="18" customHeight="1">
      <c r="B201" s="242">
        <f t="shared" si="17"/>
        <v>45123</v>
      </c>
      <c r="C201" s="123">
        <f t="shared" si="14"/>
        <v>2023</v>
      </c>
      <c r="D201" s="123">
        <f t="shared" si="15"/>
        <v>7</v>
      </c>
      <c r="E201" s="123">
        <f t="shared" si="16"/>
        <v>16</v>
      </c>
      <c r="F201" s="270">
        <v>10880</v>
      </c>
    </row>
    <row r="202" spans="2:6" ht="18" customHeight="1">
      <c r="B202" s="242">
        <f t="shared" si="17"/>
        <v>45124</v>
      </c>
      <c r="C202" s="123">
        <f t="shared" si="14"/>
        <v>2023</v>
      </c>
      <c r="D202" s="123">
        <f t="shared" si="15"/>
        <v>7</v>
      </c>
      <c r="E202" s="123">
        <f t="shared" si="16"/>
        <v>17</v>
      </c>
      <c r="F202" s="270">
        <v>5061</v>
      </c>
    </row>
    <row r="203" spans="2:6" ht="18" customHeight="1">
      <c r="B203" s="242">
        <f t="shared" si="17"/>
        <v>45125</v>
      </c>
      <c r="C203" s="123">
        <f t="shared" si="14"/>
        <v>2023</v>
      </c>
      <c r="D203" s="123">
        <f t="shared" si="15"/>
        <v>7</v>
      </c>
      <c r="E203" s="123">
        <f t="shared" si="16"/>
        <v>18</v>
      </c>
      <c r="F203" s="270">
        <v>1784</v>
      </c>
    </row>
    <row r="204" spans="2:6" ht="18" customHeight="1">
      <c r="B204" s="242">
        <f t="shared" si="17"/>
        <v>45126</v>
      </c>
      <c r="C204" s="123">
        <f t="shared" si="14"/>
        <v>2023</v>
      </c>
      <c r="D204" s="123">
        <f t="shared" si="15"/>
        <v>7</v>
      </c>
      <c r="E204" s="123">
        <f t="shared" si="16"/>
        <v>19</v>
      </c>
      <c r="F204" s="270">
        <v>8675</v>
      </c>
    </row>
    <row r="205" spans="2:6" ht="18" customHeight="1">
      <c r="B205" s="242">
        <f t="shared" si="17"/>
        <v>45127</v>
      </c>
      <c r="C205" s="123">
        <f t="shared" si="14"/>
        <v>2023</v>
      </c>
      <c r="D205" s="123">
        <f t="shared" si="15"/>
        <v>7</v>
      </c>
      <c r="E205" s="123">
        <f t="shared" si="16"/>
        <v>20</v>
      </c>
      <c r="F205" s="270">
        <v>10791</v>
      </c>
    </row>
    <row r="206" spans="2:6" ht="18" customHeight="1">
      <c r="B206" s="242">
        <f t="shared" si="17"/>
        <v>45128</v>
      </c>
      <c r="C206" s="123">
        <f t="shared" si="14"/>
        <v>2023</v>
      </c>
      <c r="D206" s="123">
        <f t="shared" si="15"/>
        <v>7</v>
      </c>
      <c r="E206" s="123">
        <f t="shared" si="16"/>
        <v>21</v>
      </c>
      <c r="F206" s="270">
        <v>7863</v>
      </c>
    </row>
    <row r="207" spans="2:6" ht="18" customHeight="1">
      <c r="B207" s="242">
        <f t="shared" si="17"/>
        <v>45129</v>
      </c>
      <c r="C207" s="123">
        <f t="shared" si="14"/>
        <v>2023</v>
      </c>
      <c r="D207" s="123">
        <f t="shared" si="15"/>
        <v>7</v>
      </c>
      <c r="E207" s="123">
        <f t="shared" si="16"/>
        <v>22</v>
      </c>
      <c r="F207" s="270">
        <v>4235</v>
      </c>
    </row>
    <row r="208" spans="2:6" ht="18" customHeight="1">
      <c r="B208" s="242">
        <f t="shared" si="17"/>
        <v>45130</v>
      </c>
      <c r="C208" s="123">
        <f t="shared" si="14"/>
        <v>2023</v>
      </c>
      <c r="D208" s="123">
        <f t="shared" si="15"/>
        <v>7</v>
      </c>
      <c r="E208" s="123">
        <f t="shared" si="16"/>
        <v>23</v>
      </c>
      <c r="F208" s="270">
        <v>4641</v>
      </c>
    </row>
    <row r="209" spans="2:6" ht="18" customHeight="1">
      <c r="B209" s="242">
        <f t="shared" si="17"/>
        <v>45131</v>
      </c>
      <c r="C209" s="123">
        <f t="shared" si="14"/>
        <v>2023</v>
      </c>
      <c r="D209" s="123">
        <f t="shared" si="15"/>
        <v>7</v>
      </c>
      <c r="E209" s="123">
        <f t="shared" si="16"/>
        <v>24</v>
      </c>
      <c r="F209" s="270">
        <v>1729</v>
      </c>
    </row>
    <row r="210" spans="2:6" ht="18" customHeight="1">
      <c r="B210" s="242">
        <f t="shared" si="17"/>
        <v>45132</v>
      </c>
      <c r="C210" s="123">
        <f t="shared" si="14"/>
        <v>2023</v>
      </c>
      <c r="D210" s="123">
        <f t="shared" si="15"/>
        <v>7</v>
      </c>
      <c r="E210" s="123">
        <f t="shared" si="16"/>
        <v>25</v>
      </c>
      <c r="F210" s="270">
        <v>3403</v>
      </c>
    </row>
    <row r="211" spans="2:6" ht="18" customHeight="1">
      <c r="B211" s="242">
        <f t="shared" si="17"/>
        <v>45133</v>
      </c>
      <c r="C211" s="123">
        <f t="shared" si="14"/>
        <v>2023</v>
      </c>
      <c r="D211" s="123">
        <f t="shared" si="15"/>
        <v>7</v>
      </c>
      <c r="E211" s="123">
        <f t="shared" si="16"/>
        <v>26</v>
      </c>
      <c r="F211" s="270">
        <v>4864</v>
      </c>
    </row>
    <row r="212" spans="2:6" ht="18" customHeight="1">
      <c r="B212" s="242">
        <f t="shared" si="17"/>
        <v>45134</v>
      </c>
      <c r="C212" s="123">
        <f t="shared" si="14"/>
        <v>2023</v>
      </c>
      <c r="D212" s="123">
        <f t="shared" si="15"/>
        <v>7</v>
      </c>
      <c r="E212" s="123">
        <f t="shared" si="16"/>
        <v>27</v>
      </c>
      <c r="F212" s="270">
        <v>1671</v>
      </c>
    </row>
    <row r="213" spans="2:6" ht="18" customHeight="1">
      <c r="B213" s="242">
        <f t="shared" si="17"/>
        <v>45135</v>
      </c>
      <c r="C213" s="123">
        <f t="shared" si="14"/>
        <v>2023</v>
      </c>
      <c r="D213" s="123">
        <f t="shared" si="15"/>
        <v>7</v>
      </c>
      <c r="E213" s="123">
        <f t="shared" si="16"/>
        <v>28</v>
      </c>
      <c r="F213" s="270">
        <v>10400</v>
      </c>
    </row>
    <row r="214" spans="2:6" ht="18" customHeight="1">
      <c r="B214" s="242">
        <f t="shared" si="17"/>
        <v>45136</v>
      </c>
      <c r="C214" s="123">
        <f t="shared" si="14"/>
        <v>2023</v>
      </c>
      <c r="D214" s="123">
        <f t="shared" si="15"/>
        <v>7</v>
      </c>
      <c r="E214" s="123">
        <f t="shared" si="16"/>
        <v>29</v>
      </c>
      <c r="F214" s="270">
        <v>3589</v>
      </c>
    </row>
    <row r="215" spans="2:6" ht="18" customHeight="1">
      <c r="B215" s="242">
        <f t="shared" si="17"/>
        <v>45137</v>
      </c>
      <c r="C215" s="123">
        <f t="shared" si="14"/>
        <v>2023</v>
      </c>
      <c r="D215" s="123">
        <f t="shared" si="15"/>
        <v>7</v>
      </c>
      <c r="E215" s="123">
        <f t="shared" si="16"/>
        <v>30</v>
      </c>
      <c r="F215" s="270">
        <v>10638</v>
      </c>
    </row>
    <row r="216" spans="2:6" ht="18" customHeight="1">
      <c r="B216" s="242">
        <f t="shared" si="17"/>
        <v>45138</v>
      </c>
      <c r="C216" s="123">
        <f t="shared" si="14"/>
        <v>2023</v>
      </c>
      <c r="D216" s="123">
        <f t="shared" si="15"/>
        <v>7</v>
      </c>
      <c r="E216" s="123">
        <f t="shared" si="16"/>
        <v>31</v>
      </c>
      <c r="F216" s="270">
        <v>5994</v>
      </c>
    </row>
    <row r="217" spans="2:6" ht="18" customHeight="1">
      <c r="B217" s="242">
        <f t="shared" si="17"/>
        <v>45139</v>
      </c>
      <c r="C217" s="123">
        <f t="shared" si="14"/>
        <v>2023</v>
      </c>
      <c r="D217" s="123">
        <f t="shared" si="15"/>
        <v>8</v>
      </c>
      <c r="E217" s="123">
        <f t="shared" si="16"/>
        <v>1</v>
      </c>
      <c r="F217" s="270">
        <v>2166</v>
      </c>
    </row>
    <row r="218" spans="2:6" ht="18" customHeight="1">
      <c r="B218" s="242">
        <f t="shared" si="17"/>
        <v>45140</v>
      </c>
      <c r="C218" s="123">
        <f t="shared" si="14"/>
        <v>2023</v>
      </c>
      <c r="D218" s="123">
        <f t="shared" si="15"/>
        <v>8</v>
      </c>
      <c r="E218" s="123">
        <f t="shared" si="16"/>
        <v>2</v>
      </c>
      <c r="F218" s="270">
        <v>6440</v>
      </c>
    </row>
    <row r="219" spans="2:6" ht="18" customHeight="1">
      <c r="B219" s="242">
        <f t="shared" si="17"/>
        <v>45141</v>
      </c>
      <c r="C219" s="123">
        <f t="shared" si="14"/>
        <v>2023</v>
      </c>
      <c r="D219" s="123">
        <f t="shared" si="15"/>
        <v>8</v>
      </c>
      <c r="E219" s="123">
        <f t="shared" si="16"/>
        <v>3</v>
      </c>
      <c r="F219" s="270">
        <v>2957</v>
      </c>
    </row>
    <row r="220" spans="2:6" ht="18" customHeight="1">
      <c r="B220" s="242">
        <f t="shared" si="17"/>
        <v>45142</v>
      </c>
      <c r="C220" s="123">
        <f t="shared" si="14"/>
        <v>2023</v>
      </c>
      <c r="D220" s="123">
        <f t="shared" si="15"/>
        <v>8</v>
      </c>
      <c r="E220" s="123">
        <f t="shared" si="16"/>
        <v>4</v>
      </c>
      <c r="F220" s="270">
        <v>7302</v>
      </c>
    </row>
    <row r="221" spans="2:6" ht="18" customHeight="1">
      <c r="B221" s="242">
        <f t="shared" si="17"/>
        <v>45143</v>
      </c>
      <c r="C221" s="123">
        <f t="shared" si="14"/>
        <v>2023</v>
      </c>
      <c r="D221" s="123">
        <f t="shared" si="15"/>
        <v>8</v>
      </c>
      <c r="E221" s="123">
        <f t="shared" si="16"/>
        <v>5</v>
      </c>
      <c r="F221" s="270">
        <v>8776</v>
      </c>
    </row>
    <row r="222" spans="2:6" ht="18" customHeight="1">
      <c r="B222" s="242">
        <f t="shared" si="17"/>
        <v>45144</v>
      </c>
      <c r="C222" s="123">
        <f t="shared" si="14"/>
        <v>2023</v>
      </c>
      <c r="D222" s="123">
        <f t="shared" si="15"/>
        <v>8</v>
      </c>
      <c r="E222" s="123">
        <f t="shared" si="16"/>
        <v>6</v>
      </c>
      <c r="F222" s="270">
        <v>5098</v>
      </c>
    </row>
    <row r="223" spans="2:6" ht="18" customHeight="1">
      <c r="B223" s="242">
        <f t="shared" si="17"/>
        <v>45145</v>
      </c>
      <c r="C223" s="123">
        <f t="shared" si="14"/>
        <v>2023</v>
      </c>
      <c r="D223" s="123">
        <f t="shared" si="15"/>
        <v>8</v>
      </c>
      <c r="E223" s="123">
        <f t="shared" si="16"/>
        <v>7</v>
      </c>
      <c r="F223" s="270">
        <v>7771</v>
      </c>
    </row>
    <row r="224" spans="2:6" ht="18" customHeight="1">
      <c r="B224" s="242">
        <f t="shared" si="17"/>
        <v>45146</v>
      </c>
      <c r="C224" s="123">
        <f t="shared" si="14"/>
        <v>2023</v>
      </c>
      <c r="D224" s="123">
        <f t="shared" si="15"/>
        <v>8</v>
      </c>
      <c r="E224" s="123">
        <f t="shared" si="16"/>
        <v>8</v>
      </c>
      <c r="F224" s="270">
        <v>8534</v>
      </c>
    </row>
    <row r="225" spans="2:6" ht="18" customHeight="1">
      <c r="B225" s="242">
        <f t="shared" si="17"/>
        <v>45147</v>
      </c>
      <c r="C225" s="123">
        <f t="shared" si="14"/>
        <v>2023</v>
      </c>
      <c r="D225" s="123">
        <f t="shared" si="15"/>
        <v>8</v>
      </c>
      <c r="E225" s="123">
        <f t="shared" si="16"/>
        <v>9</v>
      </c>
      <c r="F225" s="270">
        <v>9741</v>
      </c>
    </row>
    <row r="226" spans="2:6" ht="18" customHeight="1">
      <c r="B226" s="242">
        <f t="shared" si="17"/>
        <v>45148</v>
      </c>
      <c r="C226" s="123">
        <f t="shared" si="14"/>
        <v>2023</v>
      </c>
      <c r="D226" s="123">
        <f t="shared" si="15"/>
        <v>8</v>
      </c>
      <c r="E226" s="123">
        <f t="shared" si="16"/>
        <v>10</v>
      </c>
      <c r="F226" s="270">
        <v>5491</v>
      </c>
    </row>
    <row r="227" spans="2:6" ht="18" customHeight="1">
      <c r="B227" s="242">
        <f t="shared" si="17"/>
        <v>45149</v>
      </c>
      <c r="C227" s="123">
        <f t="shared" si="14"/>
        <v>2023</v>
      </c>
      <c r="D227" s="123">
        <f t="shared" si="15"/>
        <v>8</v>
      </c>
      <c r="E227" s="123">
        <f t="shared" si="16"/>
        <v>11</v>
      </c>
      <c r="F227" s="270">
        <v>7599</v>
      </c>
    </row>
    <row r="228" spans="2:6" ht="18" customHeight="1">
      <c r="B228" s="242">
        <f t="shared" si="17"/>
        <v>45150</v>
      </c>
      <c r="C228" s="123">
        <f t="shared" si="14"/>
        <v>2023</v>
      </c>
      <c r="D228" s="123">
        <f t="shared" si="15"/>
        <v>8</v>
      </c>
      <c r="E228" s="123">
        <f t="shared" si="16"/>
        <v>12</v>
      </c>
      <c r="F228" s="270">
        <v>10392</v>
      </c>
    </row>
    <row r="229" spans="2:6" ht="18" customHeight="1">
      <c r="B229" s="242">
        <f t="shared" si="17"/>
        <v>45151</v>
      </c>
      <c r="C229" s="123">
        <f t="shared" si="14"/>
        <v>2023</v>
      </c>
      <c r="D229" s="123">
        <f t="shared" si="15"/>
        <v>8</v>
      </c>
      <c r="E229" s="123">
        <f t="shared" si="16"/>
        <v>13</v>
      </c>
      <c r="F229" s="270">
        <v>3475</v>
      </c>
    </row>
    <row r="230" spans="2:6" ht="18" customHeight="1">
      <c r="B230" s="242">
        <f t="shared" si="17"/>
        <v>45152</v>
      </c>
      <c r="C230" s="123">
        <f t="shared" si="14"/>
        <v>2023</v>
      </c>
      <c r="D230" s="123">
        <f t="shared" si="15"/>
        <v>8</v>
      </c>
      <c r="E230" s="123">
        <f t="shared" si="16"/>
        <v>14</v>
      </c>
      <c r="F230" s="270">
        <v>2773</v>
      </c>
    </row>
    <row r="231" spans="2:6" ht="18" customHeight="1">
      <c r="B231" s="242">
        <f t="shared" si="17"/>
        <v>45153</v>
      </c>
      <c r="C231" s="123">
        <f t="shared" si="14"/>
        <v>2023</v>
      </c>
      <c r="D231" s="123">
        <f t="shared" si="15"/>
        <v>8</v>
      </c>
      <c r="E231" s="123">
        <f t="shared" si="16"/>
        <v>15</v>
      </c>
      <c r="F231" s="270">
        <v>6418</v>
      </c>
    </row>
    <row r="232" spans="2:6" ht="18" customHeight="1">
      <c r="B232" s="242">
        <f t="shared" si="17"/>
        <v>45154</v>
      </c>
      <c r="C232" s="123">
        <f t="shared" si="14"/>
        <v>2023</v>
      </c>
      <c r="D232" s="123">
        <f t="shared" si="15"/>
        <v>8</v>
      </c>
      <c r="E232" s="123">
        <f t="shared" si="16"/>
        <v>16</v>
      </c>
      <c r="F232" s="270">
        <v>2802</v>
      </c>
    </row>
    <row r="233" spans="2:6" ht="18" customHeight="1">
      <c r="B233" s="242">
        <f t="shared" si="17"/>
        <v>45155</v>
      </c>
      <c r="C233" s="123">
        <f t="shared" si="14"/>
        <v>2023</v>
      </c>
      <c r="D233" s="123">
        <f t="shared" si="15"/>
        <v>8</v>
      </c>
      <c r="E233" s="123">
        <f t="shared" si="16"/>
        <v>17</v>
      </c>
      <c r="F233" s="270">
        <v>6527</v>
      </c>
    </row>
    <row r="234" spans="2:6" ht="18" customHeight="1">
      <c r="B234" s="242">
        <f t="shared" si="17"/>
        <v>45156</v>
      </c>
      <c r="C234" s="123">
        <f t="shared" si="14"/>
        <v>2023</v>
      </c>
      <c r="D234" s="123">
        <f t="shared" si="15"/>
        <v>8</v>
      </c>
      <c r="E234" s="123">
        <f t="shared" si="16"/>
        <v>18</v>
      </c>
      <c r="F234" s="270">
        <v>5073</v>
      </c>
    </row>
    <row r="235" spans="2:6" ht="18" customHeight="1">
      <c r="B235" s="242">
        <f t="shared" si="17"/>
        <v>45157</v>
      </c>
      <c r="C235" s="123">
        <f t="shared" si="14"/>
        <v>2023</v>
      </c>
      <c r="D235" s="123">
        <f t="shared" si="15"/>
        <v>8</v>
      </c>
      <c r="E235" s="123">
        <f t="shared" si="16"/>
        <v>19</v>
      </c>
      <c r="F235" s="270">
        <v>3524</v>
      </c>
    </row>
    <row r="236" spans="2:6" ht="18" customHeight="1">
      <c r="B236" s="242">
        <f t="shared" si="17"/>
        <v>45158</v>
      </c>
      <c r="C236" s="123">
        <f t="shared" si="14"/>
        <v>2023</v>
      </c>
      <c r="D236" s="123">
        <f t="shared" si="15"/>
        <v>8</v>
      </c>
      <c r="E236" s="123">
        <f t="shared" si="16"/>
        <v>20</v>
      </c>
      <c r="F236" s="270">
        <v>4936</v>
      </c>
    </row>
    <row r="237" spans="2:6" ht="18" customHeight="1">
      <c r="B237" s="242">
        <f t="shared" si="17"/>
        <v>45159</v>
      </c>
      <c r="C237" s="123">
        <f t="shared" si="14"/>
        <v>2023</v>
      </c>
      <c r="D237" s="123">
        <f t="shared" si="15"/>
        <v>8</v>
      </c>
      <c r="E237" s="123">
        <f t="shared" si="16"/>
        <v>21</v>
      </c>
      <c r="F237" s="270">
        <v>2404</v>
      </c>
    </row>
    <row r="238" spans="2:6" ht="18" customHeight="1">
      <c r="B238" s="242">
        <f t="shared" si="17"/>
        <v>45160</v>
      </c>
      <c r="C238" s="123">
        <f t="shared" si="14"/>
        <v>2023</v>
      </c>
      <c r="D238" s="123">
        <f t="shared" si="15"/>
        <v>8</v>
      </c>
      <c r="E238" s="123">
        <f t="shared" si="16"/>
        <v>22</v>
      </c>
      <c r="F238" s="270">
        <v>8553</v>
      </c>
    </row>
    <row r="239" spans="2:6" ht="18" customHeight="1">
      <c r="B239" s="242">
        <f t="shared" si="17"/>
        <v>45161</v>
      </c>
      <c r="C239" s="123">
        <f t="shared" si="14"/>
        <v>2023</v>
      </c>
      <c r="D239" s="123">
        <f t="shared" si="15"/>
        <v>8</v>
      </c>
      <c r="E239" s="123">
        <f t="shared" si="16"/>
        <v>23</v>
      </c>
      <c r="F239" s="270">
        <v>3928</v>
      </c>
    </row>
    <row r="240" spans="2:6" ht="18" customHeight="1">
      <c r="B240" s="242">
        <f t="shared" si="17"/>
        <v>45162</v>
      </c>
      <c r="C240" s="123">
        <f t="shared" si="14"/>
        <v>2023</v>
      </c>
      <c r="D240" s="123">
        <f t="shared" si="15"/>
        <v>8</v>
      </c>
      <c r="E240" s="123">
        <f t="shared" si="16"/>
        <v>24</v>
      </c>
      <c r="F240" s="270">
        <v>1801</v>
      </c>
    </row>
    <row r="241" spans="2:6" ht="18" customHeight="1">
      <c r="B241" s="242">
        <f t="shared" si="17"/>
        <v>45163</v>
      </c>
      <c r="C241" s="123">
        <f t="shared" si="14"/>
        <v>2023</v>
      </c>
      <c r="D241" s="123">
        <f t="shared" si="15"/>
        <v>8</v>
      </c>
      <c r="E241" s="123">
        <f t="shared" si="16"/>
        <v>25</v>
      </c>
      <c r="F241" s="270">
        <v>7089</v>
      </c>
    </row>
    <row r="242" spans="2:6" ht="18" customHeight="1">
      <c r="B242" s="242">
        <f t="shared" si="17"/>
        <v>45164</v>
      </c>
      <c r="C242" s="123">
        <f t="shared" si="14"/>
        <v>2023</v>
      </c>
      <c r="D242" s="123">
        <f t="shared" si="15"/>
        <v>8</v>
      </c>
      <c r="E242" s="123">
        <f t="shared" si="16"/>
        <v>26</v>
      </c>
      <c r="F242" s="270">
        <v>4468</v>
      </c>
    </row>
    <row r="243" spans="2:6" ht="18" customHeight="1">
      <c r="B243" s="242">
        <f t="shared" si="17"/>
        <v>45165</v>
      </c>
      <c r="C243" s="123">
        <f t="shared" si="14"/>
        <v>2023</v>
      </c>
      <c r="D243" s="123">
        <f t="shared" si="15"/>
        <v>8</v>
      </c>
      <c r="E243" s="123">
        <f t="shared" si="16"/>
        <v>27</v>
      </c>
      <c r="F243" s="270">
        <v>7995</v>
      </c>
    </row>
    <row r="244" spans="2:6" ht="18" customHeight="1">
      <c r="B244" s="242">
        <f t="shared" si="17"/>
        <v>45166</v>
      </c>
      <c r="C244" s="123">
        <f t="shared" si="14"/>
        <v>2023</v>
      </c>
      <c r="D244" s="123">
        <f t="shared" si="15"/>
        <v>8</v>
      </c>
      <c r="E244" s="123">
        <f t="shared" si="16"/>
        <v>28</v>
      </c>
      <c r="F244" s="270">
        <v>5773</v>
      </c>
    </row>
    <row r="245" spans="2:6" ht="18" customHeight="1">
      <c r="B245" s="242">
        <f t="shared" si="17"/>
        <v>45167</v>
      </c>
      <c r="C245" s="123">
        <f t="shared" si="14"/>
        <v>2023</v>
      </c>
      <c r="D245" s="123">
        <f t="shared" si="15"/>
        <v>8</v>
      </c>
      <c r="E245" s="123">
        <f t="shared" si="16"/>
        <v>29</v>
      </c>
      <c r="F245" s="270">
        <v>3425</v>
      </c>
    </row>
    <row r="246" spans="2:6" ht="18" customHeight="1">
      <c r="B246" s="242">
        <f t="shared" si="17"/>
        <v>45168</v>
      </c>
      <c r="C246" s="123">
        <f t="shared" si="14"/>
        <v>2023</v>
      </c>
      <c r="D246" s="123">
        <f t="shared" si="15"/>
        <v>8</v>
      </c>
      <c r="E246" s="123">
        <f t="shared" si="16"/>
        <v>30</v>
      </c>
      <c r="F246" s="270">
        <v>6882</v>
      </c>
    </row>
    <row r="247" spans="2:6" ht="18" customHeight="1">
      <c r="B247" s="242">
        <f t="shared" si="17"/>
        <v>45169</v>
      </c>
      <c r="C247" s="123">
        <f t="shared" si="14"/>
        <v>2023</v>
      </c>
      <c r="D247" s="123">
        <f t="shared" si="15"/>
        <v>8</v>
      </c>
      <c r="E247" s="123">
        <f t="shared" si="16"/>
        <v>31</v>
      </c>
      <c r="F247" s="270">
        <v>7951</v>
      </c>
    </row>
    <row r="248" spans="2:6" ht="18" customHeight="1">
      <c r="B248" s="242">
        <f t="shared" si="17"/>
        <v>45170</v>
      </c>
      <c r="C248" s="123">
        <f t="shared" si="14"/>
        <v>2023</v>
      </c>
      <c r="D248" s="123">
        <f t="shared" si="15"/>
        <v>9</v>
      </c>
      <c r="E248" s="123">
        <f t="shared" si="16"/>
        <v>1</v>
      </c>
      <c r="F248" s="270">
        <v>8022</v>
      </c>
    </row>
    <row r="249" spans="2:6" ht="18" customHeight="1">
      <c r="B249" s="242">
        <f t="shared" si="17"/>
        <v>45171</v>
      </c>
      <c r="C249" s="123">
        <f t="shared" si="14"/>
        <v>2023</v>
      </c>
      <c r="D249" s="123">
        <f t="shared" si="15"/>
        <v>9</v>
      </c>
      <c r="E249" s="123">
        <f t="shared" si="16"/>
        <v>2</v>
      </c>
      <c r="F249" s="270">
        <v>3142</v>
      </c>
    </row>
    <row r="250" spans="2:6" ht="18" customHeight="1">
      <c r="B250" s="242">
        <f t="shared" si="17"/>
        <v>45172</v>
      </c>
      <c r="C250" s="123">
        <f t="shared" si="14"/>
        <v>2023</v>
      </c>
      <c r="D250" s="123">
        <f t="shared" si="15"/>
        <v>9</v>
      </c>
      <c r="E250" s="123">
        <f t="shared" si="16"/>
        <v>3</v>
      </c>
      <c r="F250" s="270">
        <v>8849</v>
      </c>
    </row>
    <row r="251" spans="2:6" ht="18" customHeight="1">
      <c r="B251" s="242">
        <f t="shared" si="17"/>
        <v>45173</v>
      </c>
      <c r="C251" s="123">
        <f t="shared" si="14"/>
        <v>2023</v>
      </c>
      <c r="D251" s="123">
        <f t="shared" si="15"/>
        <v>9</v>
      </c>
      <c r="E251" s="123">
        <f t="shared" si="16"/>
        <v>4</v>
      </c>
      <c r="F251" s="270">
        <v>7291</v>
      </c>
    </row>
    <row r="252" spans="2:6" ht="18" customHeight="1">
      <c r="B252" s="242">
        <f t="shared" si="17"/>
        <v>45174</v>
      </c>
      <c r="C252" s="123">
        <f t="shared" si="14"/>
        <v>2023</v>
      </c>
      <c r="D252" s="123">
        <f t="shared" si="15"/>
        <v>9</v>
      </c>
      <c r="E252" s="123">
        <f t="shared" si="16"/>
        <v>5</v>
      </c>
      <c r="F252" s="270">
        <v>1472</v>
      </c>
    </row>
    <row r="253" spans="2:6" ht="18" customHeight="1">
      <c r="B253" s="242">
        <f t="shared" si="17"/>
        <v>45175</v>
      </c>
      <c r="C253" s="123">
        <f t="shared" si="14"/>
        <v>2023</v>
      </c>
      <c r="D253" s="123">
        <f t="shared" si="15"/>
        <v>9</v>
      </c>
      <c r="E253" s="123">
        <f t="shared" si="16"/>
        <v>6</v>
      </c>
      <c r="F253" s="270">
        <v>6379</v>
      </c>
    </row>
    <row r="254" spans="2:6" ht="18" customHeight="1">
      <c r="B254" s="242">
        <f t="shared" si="17"/>
        <v>45176</v>
      </c>
      <c r="C254" s="123">
        <f t="shared" si="14"/>
        <v>2023</v>
      </c>
      <c r="D254" s="123">
        <f t="shared" si="15"/>
        <v>9</v>
      </c>
      <c r="E254" s="123">
        <f t="shared" si="16"/>
        <v>7</v>
      </c>
      <c r="F254" s="270">
        <v>7099</v>
      </c>
    </row>
    <row r="255" spans="2:6" ht="18" customHeight="1">
      <c r="B255" s="242">
        <f t="shared" si="17"/>
        <v>45177</v>
      </c>
      <c r="C255" s="123">
        <f t="shared" si="14"/>
        <v>2023</v>
      </c>
      <c r="D255" s="123">
        <f t="shared" si="15"/>
        <v>9</v>
      </c>
      <c r="E255" s="123">
        <f t="shared" si="16"/>
        <v>8</v>
      </c>
      <c r="F255" s="270">
        <v>8915</v>
      </c>
    </row>
    <row r="256" spans="2:6" ht="18" customHeight="1">
      <c r="B256" s="242">
        <f t="shared" si="17"/>
        <v>45178</v>
      </c>
      <c r="C256" s="123">
        <f t="shared" si="14"/>
        <v>2023</v>
      </c>
      <c r="D256" s="123">
        <f t="shared" si="15"/>
        <v>9</v>
      </c>
      <c r="E256" s="123">
        <f t="shared" si="16"/>
        <v>9</v>
      </c>
      <c r="F256" s="270">
        <v>1301</v>
      </c>
    </row>
    <row r="257" spans="2:6" ht="18" customHeight="1">
      <c r="B257" s="242">
        <f t="shared" si="17"/>
        <v>45179</v>
      </c>
      <c r="C257" s="123">
        <f t="shared" si="14"/>
        <v>2023</v>
      </c>
      <c r="D257" s="123">
        <f t="shared" si="15"/>
        <v>9</v>
      </c>
      <c r="E257" s="123">
        <f t="shared" si="16"/>
        <v>10</v>
      </c>
      <c r="F257" s="270">
        <v>9814</v>
      </c>
    </row>
    <row r="258" spans="2:6" ht="18" customHeight="1">
      <c r="B258" s="242">
        <f t="shared" si="17"/>
        <v>45180</v>
      </c>
      <c r="C258" s="123">
        <f t="shared" si="14"/>
        <v>2023</v>
      </c>
      <c r="D258" s="123">
        <f t="shared" si="15"/>
        <v>9</v>
      </c>
      <c r="E258" s="123">
        <f t="shared" si="16"/>
        <v>11</v>
      </c>
      <c r="F258" s="270">
        <v>8077</v>
      </c>
    </row>
    <row r="259" spans="2:6" ht="18" customHeight="1">
      <c r="B259" s="242">
        <f t="shared" si="17"/>
        <v>45181</v>
      </c>
      <c r="C259" s="123">
        <f t="shared" si="14"/>
        <v>2023</v>
      </c>
      <c r="D259" s="123">
        <f t="shared" si="15"/>
        <v>9</v>
      </c>
      <c r="E259" s="123">
        <f t="shared" si="16"/>
        <v>12</v>
      </c>
      <c r="F259" s="270">
        <v>4344</v>
      </c>
    </row>
    <row r="260" spans="2:6" ht="18" customHeight="1">
      <c r="B260" s="242">
        <f t="shared" si="17"/>
        <v>45182</v>
      </c>
      <c r="C260" s="123">
        <f t="shared" si="14"/>
        <v>2023</v>
      </c>
      <c r="D260" s="123">
        <f t="shared" si="15"/>
        <v>9</v>
      </c>
      <c r="E260" s="123">
        <f t="shared" si="16"/>
        <v>13</v>
      </c>
      <c r="F260" s="270">
        <v>2122</v>
      </c>
    </row>
    <row r="261" spans="2:6" ht="18" customHeight="1">
      <c r="B261" s="242">
        <f t="shared" si="17"/>
        <v>45183</v>
      </c>
      <c r="C261" s="123">
        <f t="shared" si="14"/>
        <v>2023</v>
      </c>
      <c r="D261" s="123">
        <f t="shared" si="15"/>
        <v>9</v>
      </c>
      <c r="E261" s="123">
        <f t="shared" si="16"/>
        <v>14</v>
      </c>
      <c r="F261" s="270">
        <v>6222</v>
      </c>
    </row>
    <row r="262" spans="2:6" ht="18" customHeight="1">
      <c r="B262" s="242">
        <f t="shared" si="17"/>
        <v>45184</v>
      </c>
      <c r="C262" s="123">
        <f t="shared" ref="C262:C325" si="18">YEAR(B262)</f>
        <v>2023</v>
      </c>
      <c r="D262" s="123">
        <f t="shared" ref="D262:D325" si="19">MONTH(B262)</f>
        <v>9</v>
      </c>
      <c r="E262" s="123">
        <f t="shared" ref="E262:E325" si="20">DAY(B262)</f>
        <v>15</v>
      </c>
      <c r="F262" s="270">
        <v>7442</v>
      </c>
    </row>
    <row r="263" spans="2:6" ht="18" customHeight="1">
      <c r="B263" s="242">
        <f t="shared" ref="B263:B326" si="21">+B262+1</f>
        <v>45185</v>
      </c>
      <c r="C263" s="123">
        <f t="shared" si="18"/>
        <v>2023</v>
      </c>
      <c r="D263" s="123">
        <f t="shared" si="19"/>
        <v>9</v>
      </c>
      <c r="E263" s="123">
        <f t="shared" si="20"/>
        <v>16</v>
      </c>
      <c r="F263" s="270">
        <v>3977</v>
      </c>
    </row>
    <row r="264" spans="2:6" ht="18" customHeight="1">
      <c r="B264" s="242">
        <f t="shared" si="21"/>
        <v>45186</v>
      </c>
      <c r="C264" s="123">
        <f t="shared" si="18"/>
        <v>2023</v>
      </c>
      <c r="D264" s="123">
        <f t="shared" si="19"/>
        <v>9</v>
      </c>
      <c r="E264" s="123">
        <f t="shared" si="20"/>
        <v>17</v>
      </c>
      <c r="F264" s="270">
        <v>5113</v>
      </c>
    </row>
    <row r="265" spans="2:6" ht="18" customHeight="1">
      <c r="B265" s="242">
        <f t="shared" si="21"/>
        <v>45187</v>
      </c>
      <c r="C265" s="123">
        <f t="shared" si="18"/>
        <v>2023</v>
      </c>
      <c r="D265" s="123">
        <f t="shared" si="19"/>
        <v>9</v>
      </c>
      <c r="E265" s="123">
        <f t="shared" si="20"/>
        <v>18</v>
      </c>
      <c r="F265" s="270">
        <v>3909</v>
      </c>
    </row>
    <row r="266" spans="2:6" ht="18" customHeight="1">
      <c r="B266" s="242">
        <f t="shared" si="21"/>
        <v>45188</v>
      </c>
      <c r="C266" s="123">
        <f t="shared" si="18"/>
        <v>2023</v>
      </c>
      <c r="D266" s="123">
        <f t="shared" si="19"/>
        <v>9</v>
      </c>
      <c r="E266" s="123">
        <f t="shared" si="20"/>
        <v>19</v>
      </c>
      <c r="F266" s="270">
        <v>8330</v>
      </c>
    </row>
    <row r="267" spans="2:6" ht="18" customHeight="1">
      <c r="B267" s="242">
        <f t="shared" si="21"/>
        <v>45189</v>
      </c>
      <c r="C267" s="123">
        <f t="shared" si="18"/>
        <v>2023</v>
      </c>
      <c r="D267" s="123">
        <f t="shared" si="19"/>
        <v>9</v>
      </c>
      <c r="E267" s="123">
        <f t="shared" si="20"/>
        <v>20</v>
      </c>
      <c r="F267" s="270">
        <v>2744</v>
      </c>
    </row>
    <row r="268" spans="2:6" ht="18" customHeight="1">
      <c r="B268" s="242">
        <f t="shared" si="21"/>
        <v>45190</v>
      </c>
      <c r="C268" s="123">
        <f t="shared" si="18"/>
        <v>2023</v>
      </c>
      <c r="D268" s="123">
        <f t="shared" si="19"/>
        <v>9</v>
      </c>
      <c r="E268" s="123">
        <f t="shared" si="20"/>
        <v>21</v>
      </c>
      <c r="F268" s="270">
        <v>9806</v>
      </c>
    </row>
    <row r="269" spans="2:6" ht="18" customHeight="1">
      <c r="B269" s="242">
        <f t="shared" si="21"/>
        <v>45191</v>
      </c>
      <c r="C269" s="123">
        <f t="shared" si="18"/>
        <v>2023</v>
      </c>
      <c r="D269" s="123">
        <f t="shared" si="19"/>
        <v>9</v>
      </c>
      <c r="E269" s="123">
        <f t="shared" si="20"/>
        <v>22</v>
      </c>
      <c r="F269" s="270">
        <v>3133</v>
      </c>
    </row>
    <row r="270" spans="2:6" ht="18" customHeight="1">
      <c r="B270" s="242">
        <f t="shared" si="21"/>
        <v>45192</v>
      </c>
      <c r="C270" s="123">
        <f t="shared" si="18"/>
        <v>2023</v>
      </c>
      <c r="D270" s="123">
        <f t="shared" si="19"/>
        <v>9</v>
      </c>
      <c r="E270" s="123">
        <f t="shared" si="20"/>
        <v>23</v>
      </c>
      <c r="F270" s="270">
        <v>9365</v>
      </c>
    </row>
    <row r="271" spans="2:6" ht="18" customHeight="1">
      <c r="B271" s="242">
        <f t="shared" si="21"/>
        <v>45193</v>
      </c>
      <c r="C271" s="123">
        <f t="shared" si="18"/>
        <v>2023</v>
      </c>
      <c r="D271" s="123">
        <f t="shared" si="19"/>
        <v>9</v>
      </c>
      <c r="E271" s="123">
        <f t="shared" si="20"/>
        <v>24</v>
      </c>
      <c r="F271" s="270">
        <v>2652</v>
      </c>
    </row>
    <row r="272" spans="2:6" ht="18" customHeight="1">
      <c r="B272" s="242">
        <f t="shared" si="21"/>
        <v>45194</v>
      </c>
      <c r="C272" s="123">
        <f t="shared" si="18"/>
        <v>2023</v>
      </c>
      <c r="D272" s="123">
        <f t="shared" si="19"/>
        <v>9</v>
      </c>
      <c r="E272" s="123">
        <f t="shared" si="20"/>
        <v>25</v>
      </c>
      <c r="F272" s="270">
        <v>8671</v>
      </c>
    </row>
    <row r="273" spans="2:6" ht="18" customHeight="1">
      <c r="B273" s="242">
        <f t="shared" si="21"/>
        <v>45195</v>
      </c>
      <c r="C273" s="123">
        <f t="shared" si="18"/>
        <v>2023</v>
      </c>
      <c r="D273" s="123">
        <f t="shared" si="19"/>
        <v>9</v>
      </c>
      <c r="E273" s="123">
        <f t="shared" si="20"/>
        <v>26</v>
      </c>
      <c r="F273" s="270">
        <v>6002</v>
      </c>
    </row>
    <row r="274" spans="2:6" ht="18" customHeight="1">
      <c r="B274" s="242">
        <f t="shared" si="21"/>
        <v>45196</v>
      </c>
      <c r="C274" s="123">
        <f t="shared" si="18"/>
        <v>2023</v>
      </c>
      <c r="D274" s="123">
        <f t="shared" si="19"/>
        <v>9</v>
      </c>
      <c r="E274" s="123">
        <f t="shared" si="20"/>
        <v>27</v>
      </c>
      <c r="F274" s="270">
        <v>6043</v>
      </c>
    </row>
    <row r="275" spans="2:6" ht="18" customHeight="1">
      <c r="B275" s="242">
        <f t="shared" si="21"/>
        <v>45197</v>
      </c>
      <c r="C275" s="123">
        <f t="shared" si="18"/>
        <v>2023</v>
      </c>
      <c r="D275" s="123">
        <f t="shared" si="19"/>
        <v>9</v>
      </c>
      <c r="E275" s="123">
        <f t="shared" si="20"/>
        <v>28</v>
      </c>
      <c r="F275" s="270">
        <v>4580</v>
      </c>
    </row>
    <row r="276" spans="2:6" ht="18" customHeight="1">
      <c r="B276" s="242">
        <f t="shared" si="21"/>
        <v>45198</v>
      </c>
      <c r="C276" s="123">
        <f t="shared" si="18"/>
        <v>2023</v>
      </c>
      <c r="D276" s="123">
        <f t="shared" si="19"/>
        <v>9</v>
      </c>
      <c r="E276" s="123">
        <f t="shared" si="20"/>
        <v>29</v>
      </c>
      <c r="F276" s="270">
        <v>1673</v>
      </c>
    </row>
    <row r="277" spans="2:6" ht="18" customHeight="1">
      <c r="B277" s="242">
        <f t="shared" si="21"/>
        <v>45199</v>
      </c>
      <c r="C277" s="123">
        <f t="shared" si="18"/>
        <v>2023</v>
      </c>
      <c r="D277" s="123">
        <f t="shared" si="19"/>
        <v>9</v>
      </c>
      <c r="E277" s="123">
        <f t="shared" si="20"/>
        <v>30</v>
      </c>
      <c r="F277" s="270">
        <v>5436</v>
      </c>
    </row>
    <row r="278" spans="2:6" ht="18" customHeight="1">
      <c r="B278" s="242">
        <f t="shared" si="21"/>
        <v>45200</v>
      </c>
      <c r="C278" s="123">
        <f t="shared" si="18"/>
        <v>2023</v>
      </c>
      <c r="D278" s="123">
        <f t="shared" si="19"/>
        <v>10</v>
      </c>
      <c r="E278" s="123">
        <f t="shared" si="20"/>
        <v>1</v>
      </c>
      <c r="F278" s="270">
        <v>9912</v>
      </c>
    </row>
    <row r="279" spans="2:6" ht="18" customHeight="1">
      <c r="B279" s="242">
        <f t="shared" si="21"/>
        <v>45201</v>
      </c>
      <c r="C279" s="123">
        <f t="shared" si="18"/>
        <v>2023</v>
      </c>
      <c r="D279" s="123">
        <f t="shared" si="19"/>
        <v>10</v>
      </c>
      <c r="E279" s="123">
        <f t="shared" si="20"/>
        <v>2</v>
      </c>
      <c r="F279" s="270">
        <v>1375</v>
      </c>
    </row>
    <row r="280" spans="2:6" ht="18" customHeight="1">
      <c r="B280" s="242">
        <f t="shared" si="21"/>
        <v>45202</v>
      </c>
      <c r="C280" s="123">
        <f t="shared" si="18"/>
        <v>2023</v>
      </c>
      <c r="D280" s="123">
        <f t="shared" si="19"/>
        <v>10</v>
      </c>
      <c r="E280" s="123">
        <f t="shared" si="20"/>
        <v>3</v>
      </c>
      <c r="F280" s="270">
        <v>2606</v>
      </c>
    </row>
    <row r="281" spans="2:6" ht="18" customHeight="1">
      <c r="B281" s="242">
        <f t="shared" si="21"/>
        <v>45203</v>
      </c>
      <c r="C281" s="123">
        <f t="shared" si="18"/>
        <v>2023</v>
      </c>
      <c r="D281" s="123">
        <f t="shared" si="19"/>
        <v>10</v>
      </c>
      <c r="E281" s="123">
        <f t="shared" si="20"/>
        <v>4</v>
      </c>
      <c r="F281" s="270">
        <v>5405</v>
      </c>
    </row>
    <row r="282" spans="2:6" ht="18" customHeight="1">
      <c r="B282" s="242">
        <f t="shared" si="21"/>
        <v>45204</v>
      </c>
      <c r="C282" s="123">
        <f t="shared" si="18"/>
        <v>2023</v>
      </c>
      <c r="D282" s="123">
        <f t="shared" si="19"/>
        <v>10</v>
      </c>
      <c r="E282" s="123">
        <f t="shared" si="20"/>
        <v>5</v>
      </c>
      <c r="F282" s="270">
        <v>9748</v>
      </c>
    </row>
    <row r="283" spans="2:6" ht="18" customHeight="1">
      <c r="B283" s="242">
        <f t="shared" si="21"/>
        <v>45205</v>
      </c>
      <c r="C283" s="123">
        <f t="shared" si="18"/>
        <v>2023</v>
      </c>
      <c r="D283" s="123">
        <f t="shared" si="19"/>
        <v>10</v>
      </c>
      <c r="E283" s="123">
        <f t="shared" si="20"/>
        <v>6</v>
      </c>
      <c r="F283" s="270">
        <v>7076</v>
      </c>
    </row>
    <row r="284" spans="2:6" ht="18" customHeight="1">
      <c r="B284" s="242">
        <f t="shared" si="21"/>
        <v>45206</v>
      </c>
      <c r="C284" s="123">
        <f t="shared" si="18"/>
        <v>2023</v>
      </c>
      <c r="D284" s="123">
        <f t="shared" si="19"/>
        <v>10</v>
      </c>
      <c r="E284" s="123">
        <f t="shared" si="20"/>
        <v>7</v>
      </c>
      <c r="F284" s="270">
        <v>9326</v>
      </c>
    </row>
    <row r="285" spans="2:6" ht="18" customHeight="1">
      <c r="B285" s="242">
        <f t="shared" si="21"/>
        <v>45207</v>
      </c>
      <c r="C285" s="123">
        <f t="shared" si="18"/>
        <v>2023</v>
      </c>
      <c r="D285" s="123">
        <f t="shared" si="19"/>
        <v>10</v>
      </c>
      <c r="E285" s="123">
        <f t="shared" si="20"/>
        <v>8</v>
      </c>
      <c r="F285" s="270">
        <v>9128</v>
      </c>
    </row>
    <row r="286" spans="2:6" ht="18" customHeight="1">
      <c r="B286" s="242">
        <f t="shared" si="21"/>
        <v>45208</v>
      </c>
      <c r="C286" s="123">
        <f t="shared" si="18"/>
        <v>2023</v>
      </c>
      <c r="D286" s="123">
        <f t="shared" si="19"/>
        <v>10</v>
      </c>
      <c r="E286" s="123">
        <f t="shared" si="20"/>
        <v>9</v>
      </c>
      <c r="F286" s="270">
        <v>3064</v>
      </c>
    </row>
    <row r="287" spans="2:6" ht="18" customHeight="1">
      <c r="B287" s="242">
        <f t="shared" si="21"/>
        <v>45209</v>
      </c>
      <c r="C287" s="123">
        <f t="shared" si="18"/>
        <v>2023</v>
      </c>
      <c r="D287" s="123">
        <f t="shared" si="19"/>
        <v>10</v>
      </c>
      <c r="E287" s="123">
        <f t="shared" si="20"/>
        <v>10</v>
      </c>
      <c r="F287" s="270">
        <v>6220</v>
      </c>
    </row>
    <row r="288" spans="2:6" ht="18" customHeight="1">
      <c r="B288" s="242">
        <f t="shared" si="21"/>
        <v>45210</v>
      </c>
      <c r="C288" s="123">
        <f t="shared" si="18"/>
        <v>2023</v>
      </c>
      <c r="D288" s="123">
        <f t="shared" si="19"/>
        <v>10</v>
      </c>
      <c r="E288" s="123">
        <f t="shared" si="20"/>
        <v>11</v>
      </c>
      <c r="F288" s="270">
        <v>10250</v>
      </c>
    </row>
    <row r="289" spans="2:6" ht="18" customHeight="1">
      <c r="B289" s="242">
        <f t="shared" si="21"/>
        <v>45211</v>
      </c>
      <c r="C289" s="123">
        <f t="shared" si="18"/>
        <v>2023</v>
      </c>
      <c r="D289" s="123">
        <f t="shared" si="19"/>
        <v>10</v>
      </c>
      <c r="E289" s="123">
        <f t="shared" si="20"/>
        <v>12</v>
      </c>
      <c r="F289" s="270">
        <v>10711</v>
      </c>
    </row>
    <row r="290" spans="2:6" ht="18" customHeight="1">
      <c r="B290" s="242">
        <f t="shared" si="21"/>
        <v>45212</v>
      </c>
      <c r="C290" s="123">
        <f t="shared" si="18"/>
        <v>2023</v>
      </c>
      <c r="D290" s="123">
        <f t="shared" si="19"/>
        <v>10</v>
      </c>
      <c r="E290" s="123">
        <f t="shared" si="20"/>
        <v>13</v>
      </c>
      <c r="F290" s="270">
        <v>7603</v>
      </c>
    </row>
    <row r="291" spans="2:6" ht="18" customHeight="1">
      <c r="B291" s="242">
        <f t="shared" si="21"/>
        <v>45213</v>
      </c>
      <c r="C291" s="123">
        <f t="shared" si="18"/>
        <v>2023</v>
      </c>
      <c r="D291" s="123">
        <f t="shared" si="19"/>
        <v>10</v>
      </c>
      <c r="E291" s="123">
        <f t="shared" si="20"/>
        <v>14</v>
      </c>
      <c r="F291" s="270">
        <v>2751</v>
      </c>
    </row>
    <row r="292" spans="2:6" ht="18" customHeight="1">
      <c r="B292" s="242">
        <f t="shared" si="21"/>
        <v>45214</v>
      </c>
      <c r="C292" s="123">
        <f t="shared" si="18"/>
        <v>2023</v>
      </c>
      <c r="D292" s="123">
        <f t="shared" si="19"/>
        <v>10</v>
      </c>
      <c r="E292" s="123">
        <f t="shared" si="20"/>
        <v>15</v>
      </c>
      <c r="F292" s="270">
        <v>1711</v>
      </c>
    </row>
    <row r="293" spans="2:6" ht="18" customHeight="1">
      <c r="B293" s="242">
        <f t="shared" si="21"/>
        <v>45215</v>
      </c>
      <c r="C293" s="123">
        <f t="shared" si="18"/>
        <v>2023</v>
      </c>
      <c r="D293" s="123">
        <f t="shared" si="19"/>
        <v>10</v>
      </c>
      <c r="E293" s="123">
        <f t="shared" si="20"/>
        <v>16</v>
      </c>
      <c r="F293" s="270">
        <v>5281</v>
      </c>
    </row>
    <row r="294" spans="2:6" ht="18" customHeight="1">
      <c r="B294" s="242">
        <f t="shared" si="21"/>
        <v>45216</v>
      </c>
      <c r="C294" s="123">
        <f t="shared" si="18"/>
        <v>2023</v>
      </c>
      <c r="D294" s="123">
        <f t="shared" si="19"/>
        <v>10</v>
      </c>
      <c r="E294" s="123">
        <f t="shared" si="20"/>
        <v>17</v>
      </c>
      <c r="F294" s="270">
        <v>7071</v>
      </c>
    </row>
    <row r="295" spans="2:6" ht="18" customHeight="1">
      <c r="B295" s="242">
        <f t="shared" si="21"/>
        <v>45217</v>
      </c>
      <c r="C295" s="123">
        <f t="shared" si="18"/>
        <v>2023</v>
      </c>
      <c r="D295" s="123">
        <f t="shared" si="19"/>
        <v>10</v>
      </c>
      <c r="E295" s="123">
        <f t="shared" si="20"/>
        <v>18</v>
      </c>
      <c r="F295" s="270">
        <v>1788</v>
      </c>
    </row>
    <row r="296" spans="2:6" ht="18" customHeight="1">
      <c r="B296" s="242">
        <f t="shared" si="21"/>
        <v>45218</v>
      </c>
      <c r="C296" s="123">
        <f t="shared" si="18"/>
        <v>2023</v>
      </c>
      <c r="D296" s="123">
        <f t="shared" si="19"/>
        <v>10</v>
      </c>
      <c r="E296" s="123">
        <f t="shared" si="20"/>
        <v>19</v>
      </c>
      <c r="F296" s="270">
        <v>9300</v>
      </c>
    </row>
    <row r="297" spans="2:6" ht="18" customHeight="1">
      <c r="B297" s="242">
        <f t="shared" si="21"/>
        <v>45219</v>
      </c>
      <c r="C297" s="123">
        <f t="shared" si="18"/>
        <v>2023</v>
      </c>
      <c r="D297" s="123">
        <f t="shared" si="19"/>
        <v>10</v>
      </c>
      <c r="E297" s="123">
        <f t="shared" si="20"/>
        <v>20</v>
      </c>
      <c r="F297" s="270">
        <v>2980</v>
      </c>
    </row>
    <row r="298" spans="2:6" ht="18" customHeight="1">
      <c r="B298" s="242">
        <f t="shared" si="21"/>
        <v>45220</v>
      </c>
      <c r="C298" s="123">
        <f t="shared" si="18"/>
        <v>2023</v>
      </c>
      <c r="D298" s="123">
        <f t="shared" si="19"/>
        <v>10</v>
      </c>
      <c r="E298" s="123">
        <f t="shared" si="20"/>
        <v>21</v>
      </c>
      <c r="F298" s="270">
        <v>10612</v>
      </c>
    </row>
    <row r="299" spans="2:6" ht="18" customHeight="1">
      <c r="B299" s="242">
        <f t="shared" si="21"/>
        <v>45221</v>
      </c>
      <c r="C299" s="123">
        <f t="shared" si="18"/>
        <v>2023</v>
      </c>
      <c r="D299" s="123">
        <f t="shared" si="19"/>
        <v>10</v>
      </c>
      <c r="E299" s="123">
        <f t="shared" si="20"/>
        <v>22</v>
      </c>
      <c r="F299" s="270">
        <v>5655</v>
      </c>
    </row>
    <row r="300" spans="2:6" ht="18" customHeight="1">
      <c r="B300" s="242">
        <f t="shared" si="21"/>
        <v>45222</v>
      </c>
      <c r="C300" s="123">
        <f t="shared" si="18"/>
        <v>2023</v>
      </c>
      <c r="D300" s="123">
        <f t="shared" si="19"/>
        <v>10</v>
      </c>
      <c r="E300" s="123">
        <f t="shared" si="20"/>
        <v>23</v>
      </c>
      <c r="F300" s="270">
        <v>9190</v>
      </c>
    </row>
    <row r="301" spans="2:6" ht="18" customHeight="1">
      <c r="B301" s="242">
        <f t="shared" si="21"/>
        <v>45223</v>
      </c>
      <c r="C301" s="123">
        <f t="shared" si="18"/>
        <v>2023</v>
      </c>
      <c r="D301" s="123">
        <f t="shared" si="19"/>
        <v>10</v>
      </c>
      <c r="E301" s="123">
        <f t="shared" si="20"/>
        <v>24</v>
      </c>
      <c r="F301" s="270">
        <v>5069</v>
      </c>
    </row>
    <row r="302" spans="2:6" ht="18" customHeight="1">
      <c r="B302" s="242">
        <f t="shared" si="21"/>
        <v>45224</v>
      </c>
      <c r="C302" s="123">
        <f t="shared" si="18"/>
        <v>2023</v>
      </c>
      <c r="D302" s="123">
        <f t="shared" si="19"/>
        <v>10</v>
      </c>
      <c r="E302" s="123">
        <f t="shared" si="20"/>
        <v>25</v>
      </c>
      <c r="F302" s="270">
        <v>10308</v>
      </c>
    </row>
    <row r="303" spans="2:6" ht="18" customHeight="1">
      <c r="B303" s="242">
        <f t="shared" si="21"/>
        <v>45225</v>
      </c>
      <c r="C303" s="123">
        <f t="shared" si="18"/>
        <v>2023</v>
      </c>
      <c r="D303" s="123">
        <f t="shared" si="19"/>
        <v>10</v>
      </c>
      <c r="E303" s="123">
        <f t="shared" si="20"/>
        <v>26</v>
      </c>
      <c r="F303" s="270">
        <v>8658</v>
      </c>
    </row>
    <row r="304" spans="2:6" ht="18" customHeight="1">
      <c r="B304" s="242">
        <f t="shared" si="21"/>
        <v>45226</v>
      </c>
      <c r="C304" s="123">
        <f t="shared" si="18"/>
        <v>2023</v>
      </c>
      <c r="D304" s="123">
        <f t="shared" si="19"/>
        <v>10</v>
      </c>
      <c r="E304" s="123">
        <f t="shared" si="20"/>
        <v>27</v>
      </c>
      <c r="F304" s="270">
        <v>10569</v>
      </c>
    </row>
    <row r="305" spans="2:6" ht="18" customHeight="1">
      <c r="B305" s="242">
        <f t="shared" si="21"/>
        <v>45227</v>
      </c>
      <c r="C305" s="123">
        <f t="shared" si="18"/>
        <v>2023</v>
      </c>
      <c r="D305" s="123">
        <f t="shared" si="19"/>
        <v>10</v>
      </c>
      <c r="E305" s="123">
        <f t="shared" si="20"/>
        <v>28</v>
      </c>
      <c r="F305" s="270">
        <v>9517</v>
      </c>
    </row>
    <row r="306" spans="2:6" ht="18" customHeight="1">
      <c r="B306" s="242">
        <f t="shared" si="21"/>
        <v>45228</v>
      </c>
      <c r="C306" s="123">
        <f t="shared" si="18"/>
        <v>2023</v>
      </c>
      <c r="D306" s="123">
        <f t="shared" si="19"/>
        <v>10</v>
      </c>
      <c r="E306" s="123">
        <f t="shared" si="20"/>
        <v>29</v>
      </c>
      <c r="F306" s="270">
        <v>5472</v>
      </c>
    </row>
    <row r="307" spans="2:6" ht="18" customHeight="1">
      <c r="B307" s="242">
        <f t="shared" si="21"/>
        <v>45229</v>
      </c>
      <c r="C307" s="123">
        <f t="shared" si="18"/>
        <v>2023</v>
      </c>
      <c r="D307" s="123">
        <f t="shared" si="19"/>
        <v>10</v>
      </c>
      <c r="E307" s="123">
        <f t="shared" si="20"/>
        <v>30</v>
      </c>
      <c r="F307" s="270">
        <v>8727</v>
      </c>
    </row>
    <row r="308" spans="2:6" ht="18" customHeight="1">
      <c r="B308" s="242">
        <f t="shared" si="21"/>
        <v>45230</v>
      </c>
      <c r="C308" s="123">
        <f t="shared" si="18"/>
        <v>2023</v>
      </c>
      <c r="D308" s="123">
        <f t="shared" si="19"/>
        <v>10</v>
      </c>
      <c r="E308" s="123">
        <f t="shared" si="20"/>
        <v>31</v>
      </c>
      <c r="F308" s="270">
        <v>10281</v>
      </c>
    </row>
    <row r="309" spans="2:6" ht="18" customHeight="1">
      <c r="B309" s="242">
        <f t="shared" si="21"/>
        <v>45231</v>
      </c>
      <c r="C309" s="123">
        <f t="shared" si="18"/>
        <v>2023</v>
      </c>
      <c r="D309" s="123">
        <f t="shared" si="19"/>
        <v>11</v>
      </c>
      <c r="E309" s="123">
        <f t="shared" si="20"/>
        <v>1</v>
      </c>
      <c r="F309" s="270">
        <v>4492</v>
      </c>
    </row>
    <row r="310" spans="2:6" ht="18" customHeight="1">
      <c r="B310" s="242">
        <f t="shared" si="21"/>
        <v>45232</v>
      </c>
      <c r="C310" s="123">
        <f t="shared" si="18"/>
        <v>2023</v>
      </c>
      <c r="D310" s="123">
        <f t="shared" si="19"/>
        <v>11</v>
      </c>
      <c r="E310" s="123">
        <f t="shared" si="20"/>
        <v>2</v>
      </c>
      <c r="F310" s="270">
        <v>1261</v>
      </c>
    </row>
    <row r="311" spans="2:6" ht="18" customHeight="1">
      <c r="B311" s="242">
        <f t="shared" si="21"/>
        <v>45233</v>
      </c>
      <c r="C311" s="123">
        <f t="shared" si="18"/>
        <v>2023</v>
      </c>
      <c r="D311" s="123">
        <f t="shared" si="19"/>
        <v>11</v>
      </c>
      <c r="E311" s="123">
        <f t="shared" si="20"/>
        <v>3</v>
      </c>
      <c r="F311" s="270">
        <v>6091</v>
      </c>
    </row>
    <row r="312" spans="2:6" ht="18" customHeight="1">
      <c r="B312" s="242">
        <f t="shared" si="21"/>
        <v>45234</v>
      </c>
      <c r="C312" s="123">
        <f t="shared" si="18"/>
        <v>2023</v>
      </c>
      <c r="D312" s="123">
        <f t="shared" si="19"/>
        <v>11</v>
      </c>
      <c r="E312" s="123">
        <f t="shared" si="20"/>
        <v>4</v>
      </c>
      <c r="F312" s="270">
        <v>6262</v>
      </c>
    </row>
    <row r="313" spans="2:6" ht="18" customHeight="1">
      <c r="B313" s="242">
        <f t="shared" si="21"/>
        <v>45235</v>
      </c>
      <c r="C313" s="123">
        <f t="shared" si="18"/>
        <v>2023</v>
      </c>
      <c r="D313" s="123">
        <f t="shared" si="19"/>
        <v>11</v>
      </c>
      <c r="E313" s="123">
        <f t="shared" si="20"/>
        <v>5</v>
      </c>
      <c r="F313" s="270">
        <v>2955</v>
      </c>
    </row>
    <row r="314" spans="2:6" ht="18" customHeight="1">
      <c r="B314" s="242">
        <f t="shared" si="21"/>
        <v>45236</v>
      </c>
      <c r="C314" s="123">
        <f t="shared" si="18"/>
        <v>2023</v>
      </c>
      <c r="D314" s="123">
        <f t="shared" si="19"/>
        <v>11</v>
      </c>
      <c r="E314" s="123">
        <f t="shared" si="20"/>
        <v>6</v>
      </c>
      <c r="F314" s="270">
        <v>9759</v>
      </c>
    </row>
    <row r="315" spans="2:6" ht="18" customHeight="1">
      <c r="B315" s="242">
        <f t="shared" si="21"/>
        <v>45237</v>
      </c>
      <c r="C315" s="123">
        <f t="shared" si="18"/>
        <v>2023</v>
      </c>
      <c r="D315" s="123">
        <f t="shared" si="19"/>
        <v>11</v>
      </c>
      <c r="E315" s="123">
        <f t="shared" si="20"/>
        <v>7</v>
      </c>
      <c r="F315" s="270">
        <v>8304</v>
      </c>
    </row>
    <row r="316" spans="2:6" ht="18" customHeight="1">
      <c r="B316" s="242">
        <f t="shared" si="21"/>
        <v>45238</v>
      </c>
      <c r="C316" s="123">
        <f t="shared" si="18"/>
        <v>2023</v>
      </c>
      <c r="D316" s="123">
        <f t="shared" si="19"/>
        <v>11</v>
      </c>
      <c r="E316" s="123">
        <f t="shared" si="20"/>
        <v>8</v>
      </c>
      <c r="F316" s="270">
        <v>8816</v>
      </c>
    </row>
    <row r="317" spans="2:6" ht="18" customHeight="1">
      <c r="B317" s="242">
        <f t="shared" si="21"/>
        <v>45239</v>
      </c>
      <c r="C317" s="123">
        <f t="shared" si="18"/>
        <v>2023</v>
      </c>
      <c r="D317" s="123">
        <f t="shared" si="19"/>
        <v>11</v>
      </c>
      <c r="E317" s="123">
        <f t="shared" si="20"/>
        <v>9</v>
      </c>
      <c r="F317" s="270">
        <v>7005</v>
      </c>
    </row>
    <row r="318" spans="2:6" ht="18" customHeight="1">
      <c r="B318" s="242">
        <f t="shared" si="21"/>
        <v>45240</v>
      </c>
      <c r="C318" s="123">
        <f t="shared" si="18"/>
        <v>2023</v>
      </c>
      <c r="D318" s="123">
        <f t="shared" si="19"/>
        <v>11</v>
      </c>
      <c r="E318" s="123">
        <f t="shared" si="20"/>
        <v>10</v>
      </c>
      <c r="F318" s="270">
        <v>4967</v>
      </c>
    </row>
    <row r="319" spans="2:6" ht="18" customHeight="1">
      <c r="B319" s="242">
        <f t="shared" si="21"/>
        <v>45241</v>
      </c>
      <c r="C319" s="123">
        <f t="shared" si="18"/>
        <v>2023</v>
      </c>
      <c r="D319" s="123">
        <f t="shared" si="19"/>
        <v>11</v>
      </c>
      <c r="E319" s="123">
        <f t="shared" si="20"/>
        <v>11</v>
      </c>
      <c r="F319" s="270">
        <v>2243</v>
      </c>
    </row>
    <row r="320" spans="2:6" ht="18" customHeight="1">
      <c r="B320" s="242">
        <f t="shared" si="21"/>
        <v>45242</v>
      </c>
      <c r="C320" s="123">
        <f t="shared" si="18"/>
        <v>2023</v>
      </c>
      <c r="D320" s="123">
        <f t="shared" si="19"/>
        <v>11</v>
      </c>
      <c r="E320" s="123">
        <f t="shared" si="20"/>
        <v>12</v>
      </c>
      <c r="F320" s="270">
        <v>6469</v>
      </c>
    </row>
    <row r="321" spans="2:6" ht="18" customHeight="1">
      <c r="B321" s="242">
        <f t="shared" si="21"/>
        <v>45243</v>
      </c>
      <c r="C321" s="123">
        <f t="shared" si="18"/>
        <v>2023</v>
      </c>
      <c r="D321" s="123">
        <f t="shared" si="19"/>
        <v>11</v>
      </c>
      <c r="E321" s="123">
        <f t="shared" si="20"/>
        <v>13</v>
      </c>
      <c r="F321" s="270">
        <v>10305</v>
      </c>
    </row>
    <row r="322" spans="2:6" ht="18" customHeight="1">
      <c r="B322" s="242">
        <f t="shared" si="21"/>
        <v>45244</v>
      </c>
      <c r="C322" s="123">
        <f t="shared" si="18"/>
        <v>2023</v>
      </c>
      <c r="D322" s="123">
        <f t="shared" si="19"/>
        <v>11</v>
      </c>
      <c r="E322" s="123">
        <f t="shared" si="20"/>
        <v>14</v>
      </c>
      <c r="F322" s="270">
        <v>5307</v>
      </c>
    </row>
    <row r="323" spans="2:6" ht="18" customHeight="1">
      <c r="B323" s="242">
        <f t="shared" si="21"/>
        <v>45245</v>
      </c>
      <c r="C323" s="123">
        <f t="shared" si="18"/>
        <v>2023</v>
      </c>
      <c r="D323" s="123">
        <f t="shared" si="19"/>
        <v>11</v>
      </c>
      <c r="E323" s="123">
        <f t="shared" si="20"/>
        <v>15</v>
      </c>
      <c r="F323" s="270">
        <v>10864</v>
      </c>
    </row>
    <row r="324" spans="2:6" ht="18" customHeight="1">
      <c r="B324" s="242">
        <f t="shared" si="21"/>
        <v>45246</v>
      </c>
      <c r="C324" s="123">
        <f t="shared" si="18"/>
        <v>2023</v>
      </c>
      <c r="D324" s="123">
        <f t="shared" si="19"/>
        <v>11</v>
      </c>
      <c r="E324" s="123">
        <f t="shared" si="20"/>
        <v>16</v>
      </c>
      <c r="F324" s="270">
        <v>10353</v>
      </c>
    </row>
    <row r="325" spans="2:6" ht="18" customHeight="1">
      <c r="B325" s="242">
        <f t="shared" si="21"/>
        <v>45247</v>
      </c>
      <c r="C325" s="123">
        <f t="shared" si="18"/>
        <v>2023</v>
      </c>
      <c r="D325" s="123">
        <f t="shared" si="19"/>
        <v>11</v>
      </c>
      <c r="E325" s="123">
        <f t="shared" si="20"/>
        <v>17</v>
      </c>
      <c r="F325" s="270">
        <v>10042</v>
      </c>
    </row>
    <row r="326" spans="2:6" ht="18" customHeight="1">
      <c r="B326" s="242">
        <f t="shared" si="21"/>
        <v>45248</v>
      </c>
      <c r="C326" s="123">
        <f t="shared" ref="C326:C389" si="22">YEAR(B326)</f>
        <v>2023</v>
      </c>
      <c r="D326" s="123">
        <f t="shared" ref="D326:D389" si="23">MONTH(B326)</f>
        <v>11</v>
      </c>
      <c r="E326" s="123">
        <f t="shared" ref="E326:E389" si="24">DAY(B326)</f>
        <v>18</v>
      </c>
      <c r="F326" s="270">
        <v>10356</v>
      </c>
    </row>
    <row r="327" spans="2:6" ht="18" customHeight="1">
      <c r="B327" s="242">
        <f t="shared" ref="B327:B370" si="25">+B326+1</f>
        <v>45249</v>
      </c>
      <c r="C327" s="123">
        <f t="shared" si="22"/>
        <v>2023</v>
      </c>
      <c r="D327" s="123">
        <f t="shared" si="23"/>
        <v>11</v>
      </c>
      <c r="E327" s="123">
        <f t="shared" si="24"/>
        <v>19</v>
      </c>
      <c r="F327" s="270">
        <v>7470</v>
      </c>
    </row>
    <row r="328" spans="2:6" ht="18" customHeight="1">
      <c r="B328" s="242">
        <f t="shared" si="25"/>
        <v>45250</v>
      </c>
      <c r="C328" s="123">
        <f t="shared" si="22"/>
        <v>2023</v>
      </c>
      <c r="D328" s="123">
        <f t="shared" si="23"/>
        <v>11</v>
      </c>
      <c r="E328" s="123">
        <f t="shared" si="24"/>
        <v>20</v>
      </c>
      <c r="F328" s="270">
        <v>6849</v>
      </c>
    </row>
    <row r="329" spans="2:6" ht="18" customHeight="1">
      <c r="B329" s="242">
        <f t="shared" si="25"/>
        <v>45251</v>
      </c>
      <c r="C329" s="123">
        <f t="shared" si="22"/>
        <v>2023</v>
      </c>
      <c r="D329" s="123">
        <f t="shared" si="23"/>
        <v>11</v>
      </c>
      <c r="E329" s="123">
        <f t="shared" si="24"/>
        <v>21</v>
      </c>
      <c r="F329" s="270">
        <v>2428</v>
      </c>
    </row>
    <row r="330" spans="2:6" ht="18" customHeight="1">
      <c r="B330" s="242">
        <f t="shared" si="25"/>
        <v>45252</v>
      </c>
      <c r="C330" s="123">
        <f t="shared" si="22"/>
        <v>2023</v>
      </c>
      <c r="D330" s="123">
        <f t="shared" si="23"/>
        <v>11</v>
      </c>
      <c r="E330" s="123">
        <f t="shared" si="24"/>
        <v>22</v>
      </c>
      <c r="F330" s="270">
        <v>6972</v>
      </c>
    </row>
    <row r="331" spans="2:6" ht="18" customHeight="1">
      <c r="B331" s="242">
        <f t="shared" si="25"/>
        <v>45253</v>
      </c>
      <c r="C331" s="123">
        <f t="shared" si="22"/>
        <v>2023</v>
      </c>
      <c r="D331" s="123">
        <f t="shared" si="23"/>
        <v>11</v>
      </c>
      <c r="E331" s="123">
        <f t="shared" si="24"/>
        <v>23</v>
      </c>
      <c r="F331" s="270">
        <v>4508</v>
      </c>
    </row>
    <row r="332" spans="2:6" ht="18" customHeight="1">
      <c r="B332" s="242">
        <f t="shared" si="25"/>
        <v>45254</v>
      </c>
      <c r="C332" s="123">
        <f t="shared" si="22"/>
        <v>2023</v>
      </c>
      <c r="D332" s="123">
        <f t="shared" si="23"/>
        <v>11</v>
      </c>
      <c r="E332" s="123">
        <f t="shared" si="24"/>
        <v>24</v>
      </c>
      <c r="F332" s="270">
        <v>1627</v>
      </c>
    </row>
    <row r="333" spans="2:6" ht="18" customHeight="1">
      <c r="B333" s="242">
        <f t="shared" si="25"/>
        <v>45255</v>
      </c>
      <c r="C333" s="123">
        <f t="shared" si="22"/>
        <v>2023</v>
      </c>
      <c r="D333" s="123">
        <f t="shared" si="23"/>
        <v>11</v>
      </c>
      <c r="E333" s="123">
        <f t="shared" si="24"/>
        <v>25</v>
      </c>
      <c r="F333" s="270">
        <v>2995</v>
      </c>
    </row>
    <row r="334" spans="2:6" ht="18" customHeight="1">
      <c r="B334" s="242">
        <f t="shared" si="25"/>
        <v>45256</v>
      </c>
      <c r="C334" s="123">
        <f t="shared" si="22"/>
        <v>2023</v>
      </c>
      <c r="D334" s="123">
        <f t="shared" si="23"/>
        <v>11</v>
      </c>
      <c r="E334" s="123">
        <f t="shared" si="24"/>
        <v>26</v>
      </c>
      <c r="F334" s="270">
        <v>1847</v>
      </c>
    </row>
    <row r="335" spans="2:6" ht="18" customHeight="1">
      <c r="B335" s="242">
        <f t="shared" si="25"/>
        <v>45257</v>
      </c>
      <c r="C335" s="123">
        <f t="shared" si="22"/>
        <v>2023</v>
      </c>
      <c r="D335" s="123">
        <f t="shared" si="23"/>
        <v>11</v>
      </c>
      <c r="E335" s="123">
        <f t="shared" si="24"/>
        <v>27</v>
      </c>
      <c r="F335" s="270">
        <v>5673</v>
      </c>
    </row>
    <row r="336" spans="2:6" ht="18" customHeight="1">
      <c r="B336" s="242">
        <f t="shared" si="25"/>
        <v>45258</v>
      </c>
      <c r="C336" s="123">
        <f t="shared" si="22"/>
        <v>2023</v>
      </c>
      <c r="D336" s="123">
        <f t="shared" si="23"/>
        <v>11</v>
      </c>
      <c r="E336" s="123">
        <f t="shared" si="24"/>
        <v>28</v>
      </c>
      <c r="F336" s="270">
        <v>5025</v>
      </c>
    </row>
    <row r="337" spans="2:6" ht="18" customHeight="1">
      <c r="B337" s="242">
        <f t="shared" si="25"/>
        <v>45259</v>
      </c>
      <c r="C337" s="123">
        <f t="shared" si="22"/>
        <v>2023</v>
      </c>
      <c r="D337" s="123">
        <f t="shared" si="23"/>
        <v>11</v>
      </c>
      <c r="E337" s="123">
        <f t="shared" si="24"/>
        <v>29</v>
      </c>
      <c r="F337" s="270">
        <v>10135</v>
      </c>
    </row>
    <row r="338" spans="2:6" ht="18" customHeight="1">
      <c r="B338" s="242">
        <f t="shared" si="25"/>
        <v>45260</v>
      </c>
      <c r="C338" s="123">
        <f t="shared" si="22"/>
        <v>2023</v>
      </c>
      <c r="D338" s="123">
        <f t="shared" si="23"/>
        <v>11</v>
      </c>
      <c r="E338" s="123">
        <f t="shared" si="24"/>
        <v>30</v>
      </c>
      <c r="F338" s="270">
        <v>11143</v>
      </c>
    </row>
    <row r="339" spans="2:6" ht="18" customHeight="1">
      <c r="B339" s="242">
        <f t="shared" si="25"/>
        <v>45261</v>
      </c>
      <c r="C339" s="123">
        <f t="shared" si="22"/>
        <v>2023</v>
      </c>
      <c r="D339" s="123">
        <f t="shared" si="23"/>
        <v>12</v>
      </c>
      <c r="E339" s="123">
        <f t="shared" si="24"/>
        <v>1</v>
      </c>
      <c r="F339" s="270">
        <v>10587</v>
      </c>
    </row>
    <row r="340" spans="2:6" ht="18" customHeight="1">
      <c r="B340" s="242">
        <f t="shared" si="25"/>
        <v>45262</v>
      </c>
      <c r="C340" s="123">
        <f t="shared" si="22"/>
        <v>2023</v>
      </c>
      <c r="D340" s="123">
        <f t="shared" si="23"/>
        <v>12</v>
      </c>
      <c r="E340" s="123">
        <f t="shared" si="24"/>
        <v>2</v>
      </c>
      <c r="F340" s="270">
        <v>4013</v>
      </c>
    </row>
    <row r="341" spans="2:6" ht="18" customHeight="1">
      <c r="B341" s="242">
        <f t="shared" si="25"/>
        <v>45263</v>
      </c>
      <c r="C341" s="123">
        <f t="shared" si="22"/>
        <v>2023</v>
      </c>
      <c r="D341" s="123">
        <f t="shared" si="23"/>
        <v>12</v>
      </c>
      <c r="E341" s="123">
        <f t="shared" si="24"/>
        <v>3</v>
      </c>
      <c r="F341" s="270">
        <v>5482</v>
      </c>
    </row>
    <row r="342" spans="2:6" ht="18" customHeight="1">
      <c r="B342" s="242">
        <f t="shared" si="25"/>
        <v>45264</v>
      </c>
      <c r="C342" s="123">
        <f t="shared" si="22"/>
        <v>2023</v>
      </c>
      <c r="D342" s="123">
        <f t="shared" si="23"/>
        <v>12</v>
      </c>
      <c r="E342" s="123">
        <f t="shared" si="24"/>
        <v>4</v>
      </c>
      <c r="F342" s="270">
        <v>9910</v>
      </c>
    </row>
    <row r="343" spans="2:6" ht="18" customHeight="1">
      <c r="B343" s="242">
        <f t="shared" si="25"/>
        <v>45265</v>
      </c>
      <c r="C343" s="123">
        <f t="shared" si="22"/>
        <v>2023</v>
      </c>
      <c r="D343" s="123">
        <f t="shared" si="23"/>
        <v>12</v>
      </c>
      <c r="E343" s="123">
        <f t="shared" si="24"/>
        <v>5</v>
      </c>
      <c r="F343" s="270">
        <v>4818</v>
      </c>
    </row>
    <row r="344" spans="2:6" ht="18" customHeight="1">
      <c r="B344" s="242">
        <f t="shared" si="25"/>
        <v>45266</v>
      </c>
      <c r="C344" s="123">
        <f t="shared" si="22"/>
        <v>2023</v>
      </c>
      <c r="D344" s="123">
        <f t="shared" si="23"/>
        <v>12</v>
      </c>
      <c r="E344" s="123">
        <f t="shared" si="24"/>
        <v>6</v>
      </c>
      <c r="F344" s="270">
        <v>3384</v>
      </c>
    </row>
    <row r="345" spans="2:6" ht="18" customHeight="1">
      <c r="B345" s="242">
        <f t="shared" si="25"/>
        <v>45267</v>
      </c>
      <c r="C345" s="123">
        <f t="shared" si="22"/>
        <v>2023</v>
      </c>
      <c r="D345" s="123">
        <f t="shared" si="23"/>
        <v>12</v>
      </c>
      <c r="E345" s="123">
        <f t="shared" si="24"/>
        <v>7</v>
      </c>
      <c r="F345" s="270">
        <v>10941</v>
      </c>
    </row>
    <row r="346" spans="2:6" ht="18" customHeight="1">
      <c r="B346" s="242">
        <f t="shared" si="25"/>
        <v>45268</v>
      </c>
      <c r="C346" s="123">
        <f t="shared" si="22"/>
        <v>2023</v>
      </c>
      <c r="D346" s="123">
        <f t="shared" si="23"/>
        <v>12</v>
      </c>
      <c r="E346" s="123">
        <f t="shared" si="24"/>
        <v>8</v>
      </c>
      <c r="F346" s="270">
        <v>1625</v>
      </c>
    </row>
    <row r="347" spans="2:6" ht="18" customHeight="1">
      <c r="B347" s="242">
        <f t="shared" si="25"/>
        <v>45269</v>
      </c>
      <c r="C347" s="123">
        <f t="shared" si="22"/>
        <v>2023</v>
      </c>
      <c r="D347" s="123">
        <f t="shared" si="23"/>
        <v>12</v>
      </c>
      <c r="E347" s="123">
        <f t="shared" si="24"/>
        <v>9</v>
      </c>
      <c r="F347" s="270">
        <v>6386</v>
      </c>
    </row>
    <row r="348" spans="2:6" ht="18" customHeight="1">
      <c r="B348" s="242">
        <f t="shared" si="25"/>
        <v>45270</v>
      </c>
      <c r="C348" s="123">
        <f t="shared" si="22"/>
        <v>2023</v>
      </c>
      <c r="D348" s="123">
        <f t="shared" si="23"/>
        <v>12</v>
      </c>
      <c r="E348" s="123">
        <f t="shared" si="24"/>
        <v>10</v>
      </c>
      <c r="F348" s="270">
        <v>10425</v>
      </c>
    </row>
    <row r="349" spans="2:6" ht="18" customHeight="1">
      <c r="B349" s="242">
        <f t="shared" si="25"/>
        <v>45271</v>
      </c>
      <c r="C349" s="123">
        <f t="shared" si="22"/>
        <v>2023</v>
      </c>
      <c r="D349" s="123">
        <f t="shared" si="23"/>
        <v>12</v>
      </c>
      <c r="E349" s="123">
        <f t="shared" si="24"/>
        <v>11</v>
      </c>
      <c r="F349" s="270">
        <v>5639</v>
      </c>
    </row>
    <row r="350" spans="2:6" ht="18" customHeight="1">
      <c r="B350" s="242">
        <f t="shared" si="25"/>
        <v>45272</v>
      </c>
      <c r="C350" s="123">
        <f t="shared" si="22"/>
        <v>2023</v>
      </c>
      <c r="D350" s="123">
        <f t="shared" si="23"/>
        <v>12</v>
      </c>
      <c r="E350" s="123">
        <f t="shared" si="24"/>
        <v>12</v>
      </c>
      <c r="F350" s="270">
        <v>6675</v>
      </c>
    </row>
    <row r="351" spans="2:6" ht="18" customHeight="1">
      <c r="B351" s="242">
        <f t="shared" si="25"/>
        <v>45273</v>
      </c>
      <c r="C351" s="123">
        <f t="shared" si="22"/>
        <v>2023</v>
      </c>
      <c r="D351" s="123">
        <f t="shared" si="23"/>
        <v>12</v>
      </c>
      <c r="E351" s="123">
        <f t="shared" si="24"/>
        <v>13</v>
      </c>
      <c r="F351" s="270">
        <v>2220</v>
      </c>
    </row>
    <row r="352" spans="2:6" ht="18" customHeight="1">
      <c r="B352" s="242">
        <f t="shared" si="25"/>
        <v>45274</v>
      </c>
      <c r="C352" s="123">
        <f t="shared" si="22"/>
        <v>2023</v>
      </c>
      <c r="D352" s="123">
        <f t="shared" si="23"/>
        <v>12</v>
      </c>
      <c r="E352" s="123">
        <f t="shared" si="24"/>
        <v>14</v>
      </c>
      <c r="F352" s="270">
        <v>2857</v>
      </c>
    </row>
    <row r="353" spans="2:6" ht="18" customHeight="1">
      <c r="B353" s="242">
        <f t="shared" si="25"/>
        <v>45275</v>
      </c>
      <c r="C353" s="123">
        <f t="shared" si="22"/>
        <v>2023</v>
      </c>
      <c r="D353" s="123">
        <f t="shared" si="23"/>
        <v>12</v>
      </c>
      <c r="E353" s="123">
        <f t="shared" si="24"/>
        <v>15</v>
      </c>
      <c r="F353" s="270">
        <v>4933</v>
      </c>
    </row>
    <row r="354" spans="2:6" ht="18" customHeight="1">
      <c r="B354" s="242">
        <f t="shared" si="25"/>
        <v>45276</v>
      </c>
      <c r="C354" s="123">
        <f t="shared" si="22"/>
        <v>2023</v>
      </c>
      <c r="D354" s="123">
        <f t="shared" si="23"/>
        <v>12</v>
      </c>
      <c r="E354" s="123">
        <f t="shared" si="24"/>
        <v>16</v>
      </c>
      <c r="F354" s="270">
        <v>6128</v>
      </c>
    </row>
    <row r="355" spans="2:6" ht="18" customHeight="1">
      <c r="B355" s="242">
        <f t="shared" si="25"/>
        <v>45277</v>
      </c>
      <c r="C355" s="123">
        <f t="shared" si="22"/>
        <v>2023</v>
      </c>
      <c r="D355" s="123">
        <f t="shared" si="23"/>
        <v>12</v>
      </c>
      <c r="E355" s="123">
        <f t="shared" si="24"/>
        <v>17</v>
      </c>
      <c r="F355" s="270">
        <v>3585</v>
      </c>
    </row>
    <row r="356" spans="2:6" ht="18" customHeight="1">
      <c r="B356" s="242">
        <f t="shared" si="25"/>
        <v>45278</v>
      </c>
      <c r="C356" s="123">
        <f t="shared" si="22"/>
        <v>2023</v>
      </c>
      <c r="D356" s="123">
        <f t="shared" si="23"/>
        <v>12</v>
      </c>
      <c r="E356" s="123">
        <f t="shared" si="24"/>
        <v>18</v>
      </c>
      <c r="F356" s="270">
        <v>1894</v>
      </c>
    </row>
    <row r="357" spans="2:6" ht="18" customHeight="1">
      <c r="B357" s="242">
        <f t="shared" si="25"/>
        <v>45279</v>
      </c>
      <c r="C357" s="123">
        <f t="shared" si="22"/>
        <v>2023</v>
      </c>
      <c r="D357" s="123">
        <f t="shared" si="23"/>
        <v>12</v>
      </c>
      <c r="E357" s="123">
        <f t="shared" si="24"/>
        <v>19</v>
      </c>
      <c r="F357" s="270">
        <v>3099</v>
      </c>
    </row>
    <row r="358" spans="2:6" ht="18" customHeight="1">
      <c r="B358" s="242">
        <f t="shared" si="25"/>
        <v>45280</v>
      </c>
      <c r="C358" s="123">
        <f t="shared" si="22"/>
        <v>2023</v>
      </c>
      <c r="D358" s="123">
        <f t="shared" si="23"/>
        <v>12</v>
      </c>
      <c r="E358" s="123">
        <f t="shared" si="24"/>
        <v>20</v>
      </c>
      <c r="F358" s="270">
        <v>9443</v>
      </c>
    </row>
    <row r="359" spans="2:6" ht="18" customHeight="1">
      <c r="B359" s="242">
        <f t="shared" si="25"/>
        <v>45281</v>
      </c>
      <c r="C359" s="123">
        <f t="shared" si="22"/>
        <v>2023</v>
      </c>
      <c r="D359" s="123">
        <f t="shared" si="23"/>
        <v>12</v>
      </c>
      <c r="E359" s="123">
        <f t="shared" si="24"/>
        <v>21</v>
      </c>
      <c r="F359" s="270">
        <v>7952</v>
      </c>
    </row>
    <row r="360" spans="2:6" ht="18" customHeight="1">
      <c r="B360" s="242">
        <f t="shared" si="25"/>
        <v>45282</v>
      </c>
      <c r="C360" s="123">
        <f t="shared" si="22"/>
        <v>2023</v>
      </c>
      <c r="D360" s="123">
        <f t="shared" si="23"/>
        <v>12</v>
      </c>
      <c r="E360" s="123">
        <f t="shared" si="24"/>
        <v>22</v>
      </c>
      <c r="F360" s="270">
        <v>5916</v>
      </c>
    </row>
    <row r="361" spans="2:6" ht="18" customHeight="1">
      <c r="B361" s="242">
        <f t="shared" si="25"/>
        <v>45283</v>
      </c>
      <c r="C361" s="123">
        <f t="shared" si="22"/>
        <v>2023</v>
      </c>
      <c r="D361" s="123">
        <f t="shared" si="23"/>
        <v>12</v>
      </c>
      <c r="E361" s="123">
        <f t="shared" si="24"/>
        <v>23</v>
      </c>
      <c r="F361" s="270">
        <v>3269</v>
      </c>
    </row>
    <row r="362" spans="2:6" ht="18" customHeight="1">
      <c r="B362" s="242">
        <f t="shared" si="25"/>
        <v>45284</v>
      </c>
      <c r="C362" s="123">
        <f t="shared" si="22"/>
        <v>2023</v>
      </c>
      <c r="D362" s="123">
        <f t="shared" si="23"/>
        <v>12</v>
      </c>
      <c r="E362" s="123">
        <f t="shared" si="24"/>
        <v>24</v>
      </c>
      <c r="F362" s="270">
        <v>9338</v>
      </c>
    </row>
    <row r="363" spans="2:6" ht="18" customHeight="1">
      <c r="B363" s="242">
        <f t="shared" si="25"/>
        <v>45285</v>
      </c>
      <c r="C363" s="123">
        <f t="shared" si="22"/>
        <v>2023</v>
      </c>
      <c r="D363" s="123">
        <f t="shared" si="23"/>
        <v>12</v>
      </c>
      <c r="E363" s="123">
        <f t="shared" si="24"/>
        <v>25</v>
      </c>
      <c r="F363" s="270">
        <v>8738</v>
      </c>
    </row>
    <row r="364" spans="2:6" ht="18" customHeight="1">
      <c r="B364" s="242">
        <f t="shared" si="25"/>
        <v>45286</v>
      </c>
      <c r="C364" s="123">
        <f t="shared" si="22"/>
        <v>2023</v>
      </c>
      <c r="D364" s="123">
        <f t="shared" si="23"/>
        <v>12</v>
      </c>
      <c r="E364" s="123">
        <f t="shared" si="24"/>
        <v>26</v>
      </c>
      <c r="F364" s="270">
        <v>9480</v>
      </c>
    </row>
    <row r="365" spans="2:6" ht="18" customHeight="1">
      <c r="B365" s="242">
        <f t="shared" si="25"/>
        <v>45287</v>
      </c>
      <c r="C365" s="123">
        <f t="shared" si="22"/>
        <v>2023</v>
      </c>
      <c r="D365" s="123">
        <f t="shared" si="23"/>
        <v>12</v>
      </c>
      <c r="E365" s="123">
        <f t="shared" si="24"/>
        <v>27</v>
      </c>
      <c r="F365" s="270">
        <v>3916</v>
      </c>
    </row>
    <row r="366" spans="2:6" ht="18" customHeight="1">
      <c r="B366" s="242">
        <f t="shared" si="25"/>
        <v>45288</v>
      </c>
      <c r="C366" s="123">
        <f t="shared" si="22"/>
        <v>2023</v>
      </c>
      <c r="D366" s="123">
        <f t="shared" si="23"/>
        <v>12</v>
      </c>
      <c r="E366" s="123">
        <f t="shared" si="24"/>
        <v>28</v>
      </c>
      <c r="F366" s="270">
        <v>10136</v>
      </c>
    </row>
    <row r="367" spans="2:6" ht="18" customHeight="1">
      <c r="B367" s="242">
        <f t="shared" si="25"/>
        <v>45289</v>
      </c>
      <c r="C367" s="123">
        <f t="shared" si="22"/>
        <v>2023</v>
      </c>
      <c r="D367" s="123">
        <f t="shared" si="23"/>
        <v>12</v>
      </c>
      <c r="E367" s="123">
        <f t="shared" si="24"/>
        <v>29</v>
      </c>
      <c r="F367" s="270">
        <v>5001</v>
      </c>
    </row>
    <row r="368" spans="2:6" ht="18" customHeight="1">
      <c r="B368" s="242">
        <f t="shared" si="25"/>
        <v>45290</v>
      </c>
      <c r="C368" s="123">
        <f t="shared" si="22"/>
        <v>2023</v>
      </c>
      <c r="D368" s="123">
        <f t="shared" si="23"/>
        <v>12</v>
      </c>
      <c r="E368" s="123">
        <f t="shared" si="24"/>
        <v>30</v>
      </c>
      <c r="F368" s="270">
        <v>6667</v>
      </c>
    </row>
    <row r="369" spans="2:6" ht="18" customHeight="1">
      <c r="B369" s="242">
        <f t="shared" si="25"/>
        <v>45291</v>
      </c>
      <c r="C369" s="123">
        <f t="shared" si="22"/>
        <v>2023</v>
      </c>
      <c r="D369" s="123">
        <f t="shared" si="23"/>
        <v>12</v>
      </c>
      <c r="E369" s="123">
        <f t="shared" si="24"/>
        <v>31</v>
      </c>
      <c r="F369" s="270">
        <v>5502</v>
      </c>
    </row>
    <row r="370" spans="2:6" ht="18" customHeight="1">
      <c r="B370" s="242">
        <f t="shared" si="25"/>
        <v>45292</v>
      </c>
      <c r="C370" s="123">
        <f t="shared" si="22"/>
        <v>2024</v>
      </c>
      <c r="D370" s="123">
        <f t="shared" si="23"/>
        <v>1</v>
      </c>
      <c r="E370" s="123">
        <f t="shared" si="24"/>
        <v>1</v>
      </c>
      <c r="F370" s="270">
        <v>3144</v>
      </c>
    </row>
    <row r="371" spans="2:6" ht="18" customHeight="1">
      <c r="B371" s="242">
        <f>+B370+1</f>
        <v>45293</v>
      </c>
      <c r="C371" s="123">
        <f t="shared" si="22"/>
        <v>2024</v>
      </c>
      <c r="D371" s="123">
        <f t="shared" si="23"/>
        <v>1</v>
      </c>
      <c r="E371" s="123">
        <f t="shared" si="24"/>
        <v>2</v>
      </c>
      <c r="F371" s="270">
        <v>1410</v>
      </c>
    </row>
    <row r="372" spans="2:6" ht="18" customHeight="1">
      <c r="B372" s="242">
        <f t="shared" ref="B372:B435" si="26">+B371+1</f>
        <v>45294</v>
      </c>
      <c r="C372" s="123">
        <f t="shared" si="22"/>
        <v>2024</v>
      </c>
      <c r="D372" s="123">
        <f t="shared" si="23"/>
        <v>1</v>
      </c>
      <c r="E372" s="123">
        <f t="shared" si="24"/>
        <v>3</v>
      </c>
      <c r="F372" s="270">
        <v>6504</v>
      </c>
    </row>
    <row r="373" spans="2:6" ht="18" customHeight="1">
      <c r="B373" s="242">
        <f t="shared" si="26"/>
        <v>45295</v>
      </c>
      <c r="C373" s="123">
        <f t="shared" si="22"/>
        <v>2024</v>
      </c>
      <c r="D373" s="123">
        <f t="shared" si="23"/>
        <v>1</v>
      </c>
      <c r="E373" s="123">
        <f t="shared" si="24"/>
        <v>4</v>
      </c>
      <c r="F373" s="270">
        <v>10367</v>
      </c>
    </row>
    <row r="374" spans="2:6" ht="18" customHeight="1">
      <c r="B374" s="242">
        <f t="shared" si="26"/>
        <v>45296</v>
      </c>
      <c r="C374" s="123">
        <f t="shared" si="22"/>
        <v>2024</v>
      </c>
      <c r="D374" s="123">
        <f t="shared" si="23"/>
        <v>1</v>
      </c>
      <c r="E374" s="123">
        <f t="shared" si="24"/>
        <v>5</v>
      </c>
      <c r="F374" s="270">
        <v>9936</v>
      </c>
    </row>
    <row r="375" spans="2:6" ht="18" customHeight="1">
      <c r="B375" s="242">
        <f t="shared" si="26"/>
        <v>45297</v>
      </c>
      <c r="C375" s="123">
        <f t="shared" si="22"/>
        <v>2024</v>
      </c>
      <c r="D375" s="123">
        <f t="shared" si="23"/>
        <v>1</v>
      </c>
      <c r="E375" s="123">
        <f t="shared" si="24"/>
        <v>6</v>
      </c>
      <c r="F375" s="270">
        <v>6003</v>
      </c>
    </row>
    <row r="376" spans="2:6" ht="18" customHeight="1">
      <c r="B376" s="242">
        <f t="shared" si="26"/>
        <v>45298</v>
      </c>
      <c r="C376" s="123">
        <f t="shared" si="22"/>
        <v>2024</v>
      </c>
      <c r="D376" s="123">
        <f t="shared" si="23"/>
        <v>1</v>
      </c>
      <c r="E376" s="123">
        <f t="shared" si="24"/>
        <v>7</v>
      </c>
      <c r="F376" s="270">
        <v>4089</v>
      </c>
    </row>
    <row r="377" spans="2:6" ht="18" customHeight="1">
      <c r="B377" s="242">
        <f t="shared" si="26"/>
        <v>45299</v>
      </c>
      <c r="C377" s="123">
        <f t="shared" si="22"/>
        <v>2024</v>
      </c>
      <c r="D377" s="123">
        <f t="shared" si="23"/>
        <v>1</v>
      </c>
      <c r="E377" s="123">
        <f t="shared" si="24"/>
        <v>8</v>
      </c>
      <c r="F377" s="270">
        <v>9423</v>
      </c>
    </row>
    <row r="378" spans="2:6" ht="18" customHeight="1">
      <c r="B378" s="242">
        <f t="shared" si="26"/>
        <v>45300</v>
      </c>
      <c r="C378" s="123">
        <f t="shared" si="22"/>
        <v>2024</v>
      </c>
      <c r="D378" s="123">
        <f t="shared" si="23"/>
        <v>1</v>
      </c>
      <c r="E378" s="123">
        <f t="shared" si="24"/>
        <v>9</v>
      </c>
      <c r="F378" s="270">
        <v>6396</v>
      </c>
    </row>
    <row r="379" spans="2:6" ht="18" customHeight="1">
      <c r="B379" s="242">
        <f t="shared" si="26"/>
        <v>45301</v>
      </c>
      <c r="C379" s="123">
        <f t="shared" si="22"/>
        <v>2024</v>
      </c>
      <c r="D379" s="123">
        <f t="shared" si="23"/>
        <v>1</v>
      </c>
      <c r="E379" s="123">
        <f t="shared" si="24"/>
        <v>10</v>
      </c>
      <c r="F379" s="270">
        <v>1859</v>
      </c>
    </row>
    <row r="380" spans="2:6" ht="18" customHeight="1">
      <c r="B380" s="242">
        <f t="shared" si="26"/>
        <v>45302</v>
      </c>
      <c r="C380" s="123">
        <f t="shared" si="22"/>
        <v>2024</v>
      </c>
      <c r="D380" s="123">
        <f t="shared" si="23"/>
        <v>1</v>
      </c>
      <c r="E380" s="123">
        <f t="shared" si="24"/>
        <v>11</v>
      </c>
      <c r="F380" s="270">
        <v>10804</v>
      </c>
    </row>
    <row r="381" spans="2:6" ht="18" customHeight="1">
      <c r="B381" s="242">
        <f t="shared" si="26"/>
        <v>45303</v>
      </c>
      <c r="C381" s="123">
        <f t="shared" si="22"/>
        <v>2024</v>
      </c>
      <c r="D381" s="123">
        <f t="shared" si="23"/>
        <v>1</v>
      </c>
      <c r="E381" s="123">
        <f t="shared" si="24"/>
        <v>12</v>
      </c>
      <c r="F381" s="270">
        <v>11113</v>
      </c>
    </row>
    <row r="382" spans="2:6" ht="18" customHeight="1">
      <c r="B382" s="242">
        <f t="shared" si="26"/>
        <v>45304</v>
      </c>
      <c r="C382" s="123">
        <f t="shared" si="22"/>
        <v>2024</v>
      </c>
      <c r="D382" s="123">
        <f t="shared" si="23"/>
        <v>1</v>
      </c>
      <c r="E382" s="123">
        <f t="shared" si="24"/>
        <v>13</v>
      </c>
      <c r="F382" s="270">
        <v>8280</v>
      </c>
    </row>
    <row r="383" spans="2:6" ht="18" customHeight="1">
      <c r="B383" s="242">
        <f t="shared" si="26"/>
        <v>45305</v>
      </c>
      <c r="C383" s="123">
        <f t="shared" si="22"/>
        <v>2024</v>
      </c>
      <c r="D383" s="123">
        <f t="shared" si="23"/>
        <v>1</v>
      </c>
      <c r="E383" s="123">
        <f t="shared" si="24"/>
        <v>14</v>
      </c>
      <c r="F383" s="270">
        <v>1391</v>
      </c>
    </row>
    <row r="384" spans="2:6" ht="18" customHeight="1">
      <c r="B384" s="242">
        <f t="shared" si="26"/>
        <v>45306</v>
      </c>
      <c r="C384" s="123">
        <f t="shared" si="22"/>
        <v>2024</v>
      </c>
      <c r="D384" s="123">
        <f t="shared" si="23"/>
        <v>1</v>
      </c>
      <c r="E384" s="123">
        <f t="shared" si="24"/>
        <v>15</v>
      </c>
      <c r="F384" s="270">
        <v>10984</v>
      </c>
    </row>
    <row r="385" spans="2:6" ht="18" customHeight="1">
      <c r="B385" s="242">
        <f t="shared" si="26"/>
        <v>45307</v>
      </c>
      <c r="C385" s="123">
        <f t="shared" si="22"/>
        <v>2024</v>
      </c>
      <c r="D385" s="123">
        <f t="shared" si="23"/>
        <v>1</v>
      </c>
      <c r="E385" s="123">
        <f t="shared" si="24"/>
        <v>16</v>
      </c>
      <c r="F385" s="270">
        <v>7301</v>
      </c>
    </row>
    <row r="386" spans="2:6" ht="18" customHeight="1">
      <c r="B386" s="242">
        <f t="shared" si="26"/>
        <v>45308</v>
      </c>
      <c r="C386" s="123">
        <f t="shared" si="22"/>
        <v>2024</v>
      </c>
      <c r="D386" s="123">
        <f t="shared" si="23"/>
        <v>1</v>
      </c>
      <c r="E386" s="123">
        <f t="shared" si="24"/>
        <v>17</v>
      </c>
      <c r="F386" s="270">
        <v>6537</v>
      </c>
    </row>
    <row r="387" spans="2:6" ht="18" customHeight="1">
      <c r="B387" s="242">
        <f t="shared" si="26"/>
        <v>45309</v>
      </c>
      <c r="C387" s="123">
        <f t="shared" si="22"/>
        <v>2024</v>
      </c>
      <c r="D387" s="123">
        <f t="shared" si="23"/>
        <v>1</v>
      </c>
      <c r="E387" s="123">
        <f t="shared" si="24"/>
        <v>18</v>
      </c>
      <c r="F387" s="270">
        <v>6959</v>
      </c>
    </row>
    <row r="388" spans="2:6" ht="18" customHeight="1">
      <c r="B388" s="242">
        <f t="shared" si="26"/>
        <v>45310</v>
      </c>
      <c r="C388" s="123">
        <f t="shared" si="22"/>
        <v>2024</v>
      </c>
      <c r="D388" s="123">
        <f t="shared" si="23"/>
        <v>1</v>
      </c>
      <c r="E388" s="123">
        <f t="shared" si="24"/>
        <v>19</v>
      </c>
      <c r="F388" s="270">
        <v>8540</v>
      </c>
    </row>
    <row r="389" spans="2:6" ht="18" customHeight="1">
      <c r="B389" s="242">
        <f t="shared" si="26"/>
        <v>45311</v>
      </c>
      <c r="C389" s="123">
        <f t="shared" si="22"/>
        <v>2024</v>
      </c>
      <c r="D389" s="123">
        <f t="shared" si="23"/>
        <v>1</v>
      </c>
      <c r="E389" s="123">
        <f t="shared" si="24"/>
        <v>20</v>
      </c>
      <c r="F389" s="270">
        <v>8934</v>
      </c>
    </row>
    <row r="390" spans="2:6" ht="18" customHeight="1">
      <c r="B390" s="242">
        <f t="shared" si="26"/>
        <v>45312</v>
      </c>
      <c r="C390" s="123">
        <f t="shared" ref="C390:C453" si="27">YEAR(B390)</f>
        <v>2024</v>
      </c>
      <c r="D390" s="123">
        <f t="shared" ref="D390:D453" si="28">MONTH(B390)</f>
        <v>1</v>
      </c>
      <c r="E390" s="123">
        <f t="shared" ref="E390:E453" si="29">DAY(B390)</f>
        <v>21</v>
      </c>
      <c r="F390" s="270">
        <v>8630</v>
      </c>
    </row>
    <row r="391" spans="2:6" ht="18" customHeight="1">
      <c r="B391" s="242">
        <f t="shared" si="26"/>
        <v>45313</v>
      </c>
      <c r="C391" s="123">
        <f t="shared" si="27"/>
        <v>2024</v>
      </c>
      <c r="D391" s="123">
        <f t="shared" si="28"/>
        <v>1</v>
      </c>
      <c r="E391" s="123">
        <f t="shared" si="29"/>
        <v>22</v>
      </c>
      <c r="F391" s="270">
        <v>6374</v>
      </c>
    </row>
    <row r="392" spans="2:6" ht="18" customHeight="1">
      <c r="B392" s="242">
        <f t="shared" si="26"/>
        <v>45314</v>
      </c>
      <c r="C392" s="123">
        <f t="shared" si="27"/>
        <v>2024</v>
      </c>
      <c r="D392" s="123">
        <f t="shared" si="28"/>
        <v>1</v>
      </c>
      <c r="E392" s="123">
        <f t="shared" si="29"/>
        <v>23</v>
      </c>
      <c r="F392" s="270">
        <v>8629</v>
      </c>
    </row>
    <row r="393" spans="2:6" ht="18" customHeight="1">
      <c r="B393" s="242">
        <f t="shared" si="26"/>
        <v>45315</v>
      </c>
      <c r="C393" s="123">
        <f t="shared" si="27"/>
        <v>2024</v>
      </c>
      <c r="D393" s="123">
        <f t="shared" si="28"/>
        <v>1</v>
      </c>
      <c r="E393" s="123">
        <f t="shared" si="29"/>
        <v>24</v>
      </c>
      <c r="F393" s="270">
        <v>1941</v>
      </c>
    </row>
    <row r="394" spans="2:6" ht="18" customHeight="1">
      <c r="B394" s="242">
        <f t="shared" si="26"/>
        <v>45316</v>
      </c>
      <c r="C394" s="123">
        <f t="shared" si="27"/>
        <v>2024</v>
      </c>
      <c r="D394" s="123">
        <f t="shared" si="28"/>
        <v>1</v>
      </c>
      <c r="E394" s="123">
        <f t="shared" si="29"/>
        <v>25</v>
      </c>
      <c r="F394" s="270">
        <v>6299</v>
      </c>
    </row>
    <row r="395" spans="2:6" ht="18" customHeight="1">
      <c r="B395" s="242">
        <f t="shared" si="26"/>
        <v>45317</v>
      </c>
      <c r="C395" s="123">
        <f t="shared" si="27"/>
        <v>2024</v>
      </c>
      <c r="D395" s="123">
        <f t="shared" si="28"/>
        <v>1</v>
      </c>
      <c r="E395" s="123">
        <f t="shared" si="29"/>
        <v>26</v>
      </c>
      <c r="F395" s="270">
        <v>1261</v>
      </c>
    </row>
    <row r="396" spans="2:6" ht="18" customHeight="1">
      <c r="B396" s="242">
        <f t="shared" si="26"/>
        <v>45318</v>
      </c>
      <c r="C396" s="123">
        <f t="shared" si="27"/>
        <v>2024</v>
      </c>
      <c r="D396" s="123">
        <f t="shared" si="28"/>
        <v>1</v>
      </c>
      <c r="E396" s="123">
        <f t="shared" si="29"/>
        <v>27</v>
      </c>
      <c r="F396" s="270">
        <v>7553</v>
      </c>
    </row>
    <row r="397" spans="2:6" ht="18" customHeight="1">
      <c r="B397" s="242">
        <f t="shared" si="26"/>
        <v>45319</v>
      </c>
      <c r="C397" s="123">
        <f t="shared" si="27"/>
        <v>2024</v>
      </c>
      <c r="D397" s="123">
        <f t="shared" si="28"/>
        <v>1</v>
      </c>
      <c r="E397" s="123">
        <f t="shared" si="29"/>
        <v>28</v>
      </c>
      <c r="F397" s="270">
        <v>3967</v>
      </c>
    </row>
    <row r="398" spans="2:6" ht="18" customHeight="1">
      <c r="B398" s="242">
        <f t="shared" si="26"/>
        <v>45320</v>
      </c>
      <c r="C398" s="123">
        <f t="shared" si="27"/>
        <v>2024</v>
      </c>
      <c r="D398" s="123">
        <f t="shared" si="28"/>
        <v>1</v>
      </c>
      <c r="E398" s="123">
        <f t="shared" si="29"/>
        <v>29</v>
      </c>
      <c r="F398" s="270">
        <v>7323</v>
      </c>
    </row>
    <row r="399" spans="2:6" ht="18" customHeight="1">
      <c r="B399" s="242">
        <f t="shared" si="26"/>
        <v>45321</v>
      </c>
      <c r="C399" s="123">
        <f t="shared" si="27"/>
        <v>2024</v>
      </c>
      <c r="D399" s="123">
        <f t="shared" si="28"/>
        <v>1</v>
      </c>
      <c r="E399" s="123">
        <f t="shared" si="29"/>
        <v>30</v>
      </c>
      <c r="F399" s="270">
        <v>3443</v>
      </c>
    </row>
    <row r="400" spans="2:6" ht="18" customHeight="1">
      <c r="B400" s="242">
        <f t="shared" si="26"/>
        <v>45322</v>
      </c>
      <c r="C400" s="123">
        <f t="shared" si="27"/>
        <v>2024</v>
      </c>
      <c r="D400" s="123">
        <f t="shared" si="28"/>
        <v>1</v>
      </c>
      <c r="E400" s="123">
        <f t="shared" si="29"/>
        <v>31</v>
      </c>
      <c r="F400" s="270">
        <v>10991</v>
      </c>
    </row>
    <row r="401" spans="2:6" ht="18" customHeight="1">
      <c r="B401" s="242">
        <f t="shared" si="26"/>
        <v>45323</v>
      </c>
      <c r="C401" s="123">
        <f t="shared" si="27"/>
        <v>2024</v>
      </c>
      <c r="D401" s="123">
        <f t="shared" si="28"/>
        <v>2</v>
      </c>
      <c r="E401" s="123">
        <f t="shared" si="29"/>
        <v>1</v>
      </c>
      <c r="F401" s="270">
        <v>2829</v>
      </c>
    </row>
    <row r="402" spans="2:6" ht="18" customHeight="1">
      <c r="B402" s="242">
        <f t="shared" si="26"/>
        <v>45324</v>
      </c>
      <c r="C402" s="123">
        <f t="shared" si="27"/>
        <v>2024</v>
      </c>
      <c r="D402" s="123">
        <f t="shared" si="28"/>
        <v>2</v>
      </c>
      <c r="E402" s="123">
        <f t="shared" si="29"/>
        <v>2</v>
      </c>
      <c r="F402" s="270">
        <v>1543</v>
      </c>
    </row>
    <row r="403" spans="2:6" ht="18" customHeight="1">
      <c r="B403" s="242">
        <f t="shared" si="26"/>
        <v>45325</v>
      </c>
      <c r="C403" s="123">
        <f t="shared" si="27"/>
        <v>2024</v>
      </c>
      <c r="D403" s="123">
        <f t="shared" si="28"/>
        <v>2</v>
      </c>
      <c r="E403" s="123">
        <f t="shared" si="29"/>
        <v>3</v>
      </c>
      <c r="F403" s="270">
        <v>5071</v>
      </c>
    </row>
    <row r="404" spans="2:6" ht="18" customHeight="1">
      <c r="B404" s="242">
        <f t="shared" si="26"/>
        <v>45326</v>
      </c>
      <c r="C404" s="123">
        <f t="shared" si="27"/>
        <v>2024</v>
      </c>
      <c r="D404" s="123">
        <f t="shared" si="28"/>
        <v>2</v>
      </c>
      <c r="E404" s="123">
        <f t="shared" si="29"/>
        <v>4</v>
      </c>
      <c r="F404" s="270">
        <v>11128</v>
      </c>
    </row>
    <row r="405" spans="2:6" ht="18" customHeight="1">
      <c r="B405" s="242">
        <f t="shared" si="26"/>
        <v>45327</v>
      </c>
      <c r="C405" s="123">
        <f t="shared" si="27"/>
        <v>2024</v>
      </c>
      <c r="D405" s="123">
        <f t="shared" si="28"/>
        <v>2</v>
      </c>
      <c r="E405" s="123">
        <f t="shared" si="29"/>
        <v>5</v>
      </c>
      <c r="F405" s="270">
        <v>4563</v>
      </c>
    </row>
    <row r="406" spans="2:6" ht="18" customHeight="1">
      <c r="B406" s="242">
        <f t="shared" si="26"/>
        <v>45328</v>
      </c>
      <c r="C406" s="123">
        <f t="shared" si="27"/>
        <v>2024</v>
      </c>
      <c r="D406" s="123">
        <f t="shared" si="28"/>
        <v>2</v>
      </c>
      <c r="E406" s="123">
        <f t="shared" si="29"/>
        <v>6</v>
      </c>
      <c r="F406" s="270">
        <v>8336</v>
      </c>
    </row>
    <row r="407" spans="2:6" ht="18" customHeight="1">
      <c r="B407" s="242">
        <f t="shared" si="26"/>
        <v>45329</v>
      </c>
      <c r="C407" s="123">
        <f t="shared" si="27"/>
        <v>2024</v>
      </c>
      <c r="D407" s="123">
        <f t="shared" si="28"/>
        <v>2</v>
      </c>
      <c r="E407" s="123">
        <f t="shared" si="29"/>
        <v>7</v>
      </c>
      <c r="F407" s="270">
        <v>6302</v>
      </c>
    </row>
    <row r="408" spans="2:6" ht="18" customHeight="1">
      <c r="B408" s="242">
        <f t="shared" si="26"/>
        <v>45330</v>
      </c>
      <c r="C408" s="123">
        <f t="shared" si="27"/>
        <v>2024</v>
      </c>
      <c r="D408" s="123">
        <f t="shared" si="28"/>
        <v>2</v>
      </c>
      <c r="E408" s="123">
        <f t="shared" si="29"/>
        <v>8</v>
      </c>
      <c r="F408" s="270">
        <v>11076</v>
      </c>
    </row>
    <row r="409" spans="2:6" ht="18" customHeight="1">
      <c r="B409" s="242">
        <f t="shared" si="26"/>
        <v>45331</v>
      </c>
      <c r="C409" s="123">
        <f t="shared" si="27"/>
        <v>2024</v>
      </c>
      <c r="D409" s="123">
        <f t="shared" si="28"/>
        <v>2</v>
      </c>
      <c r="E409" s="123">
        <f t="shared" si="29"/>
        <v>9</v>
      </c>
      <c r="F409" s="270">
        <v>8046</v>
      </c>
    </row>
    <row r="410" spans="2:6" ht="18" customHeight="1">
      <c r="B410" s="242">
        <f t="shared" si="26"/>
        <v>45332</v>
      </c>
      <c r="C410" s="123">
        <f t="shared" si="27"/>
        <v>2024</v>
      </c>
      <c r="D410" s="123">
        <f t="shared" si="28"/>
        <v>2</v>
      </c>
      <c r="E410" s="123">
        <f t="shared" si="29"/>
        <v>10</v>
      </c>
      <c r="F410" s="270">
        <v>10848</v>
      </c>
    </row>
    <row r="411" spans="2:6" ht="18" customHeight="1">
      <c r="B411" s="242">
        <f t="shared" si="26"/>
        <v>45333</v>
      </c>
      <c r="C411" s="123">
        <f t="shared" si="27"/>
        <v>2024</v>
      </c>
      <c r="D411" s="123">
        <f t="shared" si="28"/>
        <v>2</v>
      </c>
      <c r="E411" s="123">
        <f t="shared" si="29"/>
        <v>11</v>
      </c>
      <c r="F411" s="270">
        <v>8876</v>
      </c>
    </row>
    <row r="412" spans="2:6" ht="18" customHeight="1">
      <c r="B412" s="242">
        <f t="shared" si="26"/>
        <v>45334</v>
      </c>
      <c r="C412" s="123">
        <f t="shared" si="27"/>
        <v>2024</v>
      </c>
      <c r="D412" s="123">
        <f t="shared" si="28"/>
        <v>2</v>
      </c>
      <c r="E412" s="123">
        <f t="shared" si="29"/>
        <v>12</v>
      </c>
      <c r="F412" s="270">
        <v>1394</v>
      </c>
    </row>
    <row r="413" spans="2:6" ht="18" customHeight="1">
      <c r="B413" s="242">
        <f t="shared" si="26"/>
        <v>45335</v>
      </c>
      <c r="C413" s="123">
        <f t="shared" si="27"/>
        <v>2024</v>
      </c>
      <c r="D413" s="123">
        <f t="shared" si="28"/>
        <v>2</v>
      </c>
      <c r="E413" s="123">
        <f t="shared" si="29"/>
        <v>13</v>
      </c>
      <c r="F413" s="270">
        <v>7048</v>
      </c>
    </row>
    <row r="414" spans="2:6" ht="18" customHeight="1">
      <c r="B414" s="242">
        <f t="shared" si="26"/>
        <v>45336</v>
      </c>
      <c r="C414" s="123">
        <f t="shared" si="27"/>
        <v>2024</v>
      </c>
      <c r="D414" s="123">
        <f t="shared" si="28"/>
        <v>2</v>
      </c>
      <c r="E414" s="123">
        <f t="shared" si="29"/>
        <v>14</v>
      </c>
      <c r="F414" s="270">
        <v>10333</v>
      </c>
    </row>
    <row r="415" spans="2:6" ht="18" customHeight="1">
      <c r="B415" s="242">
        <f t="shared" si="26"/>
        <v>45337</v>
      </c>
      <c r="C415" s="123">
        <f t="shared" si="27"/>
        <v>2024</v>
      </c>
      <c r="D415" s="123">
        <f t="shared" si="28"/>
        <v>2</v>
      </c>
      <c r="E415" s="123">
        <f t="shared" si="29"/>
        <v>15</v>
      </c>
      <c r="F415" s="270">
        <v>10919</v>
      </c>
    </row>
    <row r="416" spans="2:6" ht="18" customHeight="1">
      <c r="B416" s="242">
        <f t="shared" si="26"/>
        <v>45338</v>
      </c>
      <c r="C416" s="123">
        <f t="shared" si="27"/>
        <v>2024</v>
      </c>
      <c r="D416" s="123">
        <f t="shared" si="28"/>
        <v>2</v>
      </c>
      <c r="E416" s="123">
        <f t="shared" si="29"/>
        <v>16</v>
      </c>
      <c r="F416" s="270">
        <v>5520</v>
      </c>
    </row>
    <row r="417" spans="2:6" ht="18" customHeight="1">
      <c r="B417" s="242">
        <f t="shared" si="26"/>
        <v>45339</v>
      </c>
      <c r="C417" s="123">
        <f t="shared" si="27"/>
        <v>2024</v>
      </c>
      <c r="D417" s="123">
        <f t="shared" si="28"/>
        <v>2</v>
      </c>
      <c r="E417" s="123">
        <f t="shared" si="29"/>
        <v>17</v>
      </c>
      <c r="F417" s="270">
        <v>10228</v>
      </c>
    </row>
    <row r="418" spans="2:6" ht="18" customHeight="1">
      <c r="B418" s="242">
        <f t="shared" si="26"/>
        <v>45340</v>
      </c>
      <c r="C418" s="123">
        <f t="shared" si="27"/>
        <v>2024</v>
      </c>
      <c r="D418" s="123">
        <f t="shared" si="28"/>
        <v>2</v>
      </c>
      <c r="E418" s="123">
        <f t="shared" si="29"/>
        <v>18</v>
      </c>
      <c r="F418" s="270">
        <v>6439</v>
      </c>
    </row>
    <row r="419" spans="2:6" ht="18" customHeight="1">
      <c r="B419" s="242">
        <f t="shared" si="26"/>
        <v>45341</v>
      </c>
      <c r="C419" s="123">
        <f t="shared" si="27"/>
        <v>2024</v>
      </c>
      <c r="D419" s="123">
        <f t="shared" si="28"/>
        <v>2</v>
      </c>
      <c r="E419" s="123">
        <f t="shared" si="29"/>
        <v>19</v>
      </c>
      <c r="F419" s="270">
        <v>8037</v>
      </c>
    </row>
    <row r="420" spans="2:6" ht="18" customHeight="1">
      <c r="B420" s="242">
        <f t="shared" si="26"/>
        <v>45342</v>
      </c>
      <c r="C420" s="123">
        <f t="shared" si="27"/>
        <v>2024</v>
      </c>
      <c r="D420" s="123">
        <f t="shared" si="28"/>
        <v>2</v>
      </c>
      <c r="E420" s="123">
        <f t="shared" si="29"/>
        <v>20</v>
      </c>
      <c r="F420" s="270">
        <v>1960</v>
      </c>
    </row>
    <row r="421" spans="2:6" ht="18" customHeight="1">
      <c r="B421" s="242">
        <f t="shared" si="26"/>
        <v>45343</v>
      </c>
      <c r="C421" s="123">
        <f t="shared" si="27"/>
        <v>2024</v>
      </c>
      <c r="D421" s="123">
        <f t="shared" si="28"/>
        <v>2</v>
      </c>
      <c r="E421" s="123">
        <f t="shared" si="29"/>
        <v>21</v>
      </c>
      <c r="F421" s="270">
        <v>8553</v>
      </c>
    </row>
    <row r="422" spans="2:6" ht="18" customHeight="1">
      <c r="B422" s="242">
        <f t="shared" si="26"/>
        <v>45344</v>
      </c>
      <c r="C422" s="123">
        <f t="shared" si="27"/>
        <v>2024</v>
      </c>
      <c r="D422" s="123">
        <f t="shared" si="28"/>
        <v>2</v>
      </c>
      <c r="E422" s="123">
        <f t="shared" si="29"/>
        <v>22</v>
      </c>
      <c r="F422" s="270">
        <v>9098</v>
      </c>
    </row>
    <row r="423" spans="2:6" ht="18" customHeight="1">
      <c r="B423" s="242">
        <f t="shared" si="26"/>
        <v>45345</v>
      </c>
      <c r="C423" s="123">
        <f t="shared" si="27"/>
        <v>2024</v>
      </c>
      <c r="D423" s="123">
        <f t="shared" si="28"/>
        <v>2</v>
      </c>
      <c r="E423" s="123">
        <f t="shared" si="29"/>
        <v>23</v>
      </c>
      <c r="F423" s="270">
        <v>5395</v>
      </c>
    </row>
    <row r="424" spans="2:6" ht="18" customHeight="1">
      <c r="B424" s="242">
        <f t="shared" si="26"/>
        <v>45346</v>
      </c>
      <c r="C424" s="123">
        <f t="shared" si="27"/>
        <v>2024</v>
      </c>
      <c r="D424" s="123">
        <f t="shared" si="28"/>
        <v>2</v>
      </c>
      <c r="E424" s="123">
        <f t="shared" si="29"/>
        <v>24</v>
      </c>
      <c r="F424" s="270">
        <v>4054</v>
      </c>
    </row>
    <row r="425" spans="2:6" ht="18" customHeight="1">
      <c r="B425" s="242">
        <f t="shared" si="26"/>
        <v>45347</v>
      </c>
      <c r="C425" s="123">
        <f t="shared" si="27"/>
        <v>2024</v>
      </c>
      <c r="D425" s="123">
        <f t="shared" si="28"/>
        <v>2</v>
      </c>
      <c r="E425" s="123">
        <f t="shared" si="29"/>
        <v>25</v>
      </c>
      <c r="F425" s="270">
        <v>2695</v>
      </c>
    </row>
    <row r="426" spans="2:6" ht="18" customHeight="1">
      <c r="B426" s="242">
        <f t="shared" si="26"/>
        <v>45348</v>
      </c>
      <c r="C426" s="123">
        <f t="shared" si="27"/>
        <v>2024</v>
      </c>
      <c r="D426" s="123">
        <f t="shared" si="28"/>
        <v>2</v>
      </c>
      <c r="E426" s="123">
        <f t="shared" si="29"/>
        <v>26</v>
      </c>
      <c r="F426" s="270">
        <v>7289</v>
      </c>
    </row>
    <row r="427" spans="2:6" ht="18" customHeight="1">
      <c r="B427" s="242">
        <f t="shared" si="26"/>
        <v>45349</v>
      </c>
      <c r="C427" s="123">
        <f t="shared" si="27"/>
        <v>2024</v>
      </c>
      <c r="D427" s="123">
        <f t="shared" si="28"/>
        <v>2</v>
      </c>
      <c r="E427" s="123">
        <f t="shared" si="29"/>
        <v>27</v>
      </c>
      <c r="F427" s="270">
        <v>10812</v>
      </c>
    </row>
    <row r="428" spans="2:6" ht="18" customHeight="1">
      <c r="B428" s="242">
        <f t="shared" si="26"/>
        <v>45350</v>
      </c>
      <c r="C428" s="123">
        <f t="shared" si="27"/>
        <v>2024</v>
      </c>
      <c r="D428" s="123">
        <f t="shared" si="28"/>
        <v>2</v>
      </c>
      <c r="E428" s="123">
        <f t="shared" si="29"/>
        <v>28</v>
      </c>
      <c r="F428" s="270">
        <v>6994</v>
      </c>
    </row>
    <row r="429" spans="2:6" ht="18" customHeight="1">
      <c r="B429" s="242">
        <f t="shared" si="26"/>
        <v>45351</v>
      </c>
      <c r="C429" s="123">
        <f t="shared" si="27"/>
        <v>2024</v>
      </c>
      <c r="D429" s="123">
        <f t="shared" si="28"/>
        <v>2</v>
      </c>
      <c r="E429" s="123">
        <f t="shared" si="29"/>
        <v>29</v>
      </c>
      <c r="F429" s="270">
        <v>6915</v>
      </c>
    </row>
    <row r="430" spans="2:6" ht="18" customHeight="1">
      <c r="B430" s="242">
        <f t="shared" si="26"/>
        <v>45352</v>
      </c>
      <c r="C430" s="123">
        <f t="shared" si="27"/>
        <v>2024</v>
      </c>
      <c r="D430" s="123">
        <f t="shared" si="28"/>
        <v>3</v>
      </c>
      <c r="E430" s="123">
        <f t="shared" si="29"/>
        <v>1</v>
      </c>
      <c r="F430" s="270">
        <v>5374</v>
      </c>
    </row>
    <row r="431" spans="2:6" ht="18" customHeight="1">
      <c r="B431" s="242">
        <f t="shared" si="26"/>
        <v>45353</v>
      </c>
      <c r="C431" s="123">
        <f t="shared" si="27"/>
        <v>2024</v>
      </c>
      <c r="D431" s="123">
        <f t="shared" si="28"/>
        <v>3</v>
      </c>
      <c r="E431" s="123">
        <f t="shared" si="29"/>
        <v>2</v>
      </c>
      <c r="F431" s="270">
        <v>2843</v>
      </c>
    </row>
    <row r="432" spans="2:6" ht="18" customHeight="1">
      <c r="B432" s="242">
        <f t="shared" si="26"/>
        <v>45354</v>
      </c>
      <c r="C432" s="123">
        <f t="shared" si="27"/>
        <v>2024</v>
      </c>
      <c r="D432" s="123">
        <f t="shared" si="28"/>
        <v>3</v>
      </c>
      <c r="E432" s="123">
        <f t="shared" si="29"/>
        <v>3</v>
      </c>
      <c r="F432" s="270">
        <v>9232</v>
      </c>
    </row>
    <row r="433" spans="2:6" ht="18" customHeight="1">
      <c r="B433" s="242">
        <f t="shared" si="26"/>
        <v>45355</v>
      </c>
      <c r="C433" s="123">
        <f t="shared" si="27"/>
        <v>2024</v>
      </c>
      <c r="D433" s="123">
        <f t="shared" si="28"/>
        <v>3</v>
      </c>
      <c r="E433" s="123">
        <f t="shared" si="29"/>
        <v>4</v>
      </c>
      <c r="F433" s="270">
        <v>9065</v>
      </c>
    </row>
    <row r="434" spans="2:6" ht="18" customHeight="1">
      <c r="B434" s="242">
        <f t="shared" si="26"/>
        <v>45356</v>
      </c>
      <c r="C434" s="123">
        <f t="shared" si="27"/>
        <v>2024</v>
      </c>
      <c r="D434" s="123">
        <f t="shared" si="28"/>
        <v>3</v>
      </c>
      <c r="E434" s="123">
        <f t="shared" si="29"/>
        <v>5</v>
      </c>
      <c r="F434" s="270">
        <v>5703</v>
      </c>
    </row>
    <row r="435" spans="2:6" ht="18" customHeight="1">
      <c r="B435" s="242">
        <f t="shared" si="26"/>
        <v>45357</v>
      </c>
      <c r="C435" s="123">
        <f t="shared" si="27"/>
        <v>2024</v>
      </c>
      <c r="D435" s="123">
        <f t="shared" si="28"/>
        <v>3</v>
      </c>
      <c r="E435" s="123">
        <f t="shared" si="29"/>
        <v>6</v>
      </c>
      <c r="F435" s="270">
        <v>10955</v>
      </c>
    </row>
    <row r="436" spans="2:6" ht="18" customHeight="1">
      <c r="B436" s="242">
        <f t="shared" ref="B436:B499" si="30">+B435+1</f>
        <v>45358</v>
      </c>
      <c r="C436" s="123">
        <f t="shared" si="27"/>
        <v>2024</v>
      </c>
      <c r="D436" s="123">
        <f t="shared" si="28"/>
        <v>3</v>
      </c>
      <c r="E436" s="123">
        <f t="shared" si="29"/>
        <v>7</v>
      </c>
      <c r="F436" s="270">
        <v>2284</v>
      </c>
    </row>
    <row r="437" spans="2:6" ht="18" customHeight="1">
      <c r="B437" s="242">
        <f t="shared" si="30"/>
        <v>45359</v>
      </c>
      <c r="C437" s="123">
        <f t="shared" si="27"/>
        <v>2024</v>
      </c>
      <c r="D437" s="123">
        <f t="shared" si="28"/>
        <v>3</v>
      </c>
      <c r="E437" s="123">
        <f t="shared" si="29"/>
        <v>8</v>
      </c>
      <c r="F437" s="270">
        <v>4193</v>
      </c>
    </row>
    <row r="438" spans="2:6" ht="18" customHeight="1">
      <c r="B438" s="242">
        <f t="shared" si="30"/>
        <v>45360</v>
      </c>
      <c r="C438" s="123">
        <f t="shared" si="27"/>
        <v>2024</v>
      </c>
      <c r="D438" s="123">
        <f t="shared" si="28"/>
        <v>3</v>
      </c>
      <c r="E438" s="123">
        <f t="shared" si="29"/>
        <v>9</v>
      </c>
      <c r="F438" s="270">
        <v>2692</v>
      </c>
    </row>
    <row r="439" spans="2:6" ht="18" customHeight="1">
      <c r="B439" s="242">
        <f t="shared" si="30"/>
        <v>45361</v>
      </c>
      <c r="C439" s="123">
        <f t="shared" si="27"/>
        <v>2024</v>
      </c>
      <c r="D439" s="123">
        <f t="shared" si="28"/>
        <v>3</v>
      </c>
      <c r="E439" s="123">
        <f t="shared" si="29"/>
        <v>10</v>
      </c>
      <c r="F439" s="270">
        <v>10183</v>
      </c>
    </row>
    <row r="440" spans="2:6" ht="18" customHeight="1">
      <c r="B440" s="242">
        <f t="shared" si="30"/>
        <v>45362</v>
      </c>
      <c r="C440" s="123">
        <f t="shared" si="27"/>
        <v>2024</v>
      </c>
      <c r="D440" s="123">
        <f t="shared" si="28"/>
        <v>3</v>
      </c>
      <c r="E440" s="123">
        <f t="shared" si="29"/>
        <v>11</v>
      </c>
      <c r="F440" s="270">
        <v>9171</v>
      </c>
    </row>
    <row r="441" spans="2:6" ht="18" customHeight="1">
      <c r="B441" s="242">
        <f t="shared" si="30"/>
        <v>45363</v>
      </c>
      <c r="C441" s="123">
        <f t="shared" si="27"/>
        <v>2024</v>
      </c>
      <c r="D441" s="123">
        <f t="shared" si="28"/>
        <v>3</v>
      </c>
      <c r="E441" s="123">
        <f t="shared" si="29"/>
        <v>12</v>
      </c>
      <c r="F441" s="270">
        <v>10033</v>
      </c>
    </row>
    <row r="442" spans="2:6" ht="18" customHeight="1">
      <c r="B442" s="242">
        <f t="shared" si="30"/>
        <v>45364</v>
      </c>
      <c r="C442" s="123">
        <f t="shared" si="27"/>
        <v>2024</v>
      </c>
      <c r="D442" s="123">
        <f t="shared" si="28"/>
        <v>3</v>
      </c>
      <c r="E442" s="123">
        <f t="shared" si="29"/>
        <v>13</v>
      </c>
      <c r="F442" s="270">
        <v>8271</v>
      </c>
    </row>
    <row r="443" spans="2:6" ht="18" customHeight="1">
      <c r="B443" s="242">
        <f t="shared" si="30"/>
        <v>45365</v>
      </c>
      <c r="C443" s="123">
        <f t="shared" si="27"/>
        <v>2024</v>
      </c>
      <c r="D443" s="123">
        <f t="shared" si="28"/>
        <v>3</v>
      </c>
      <c r="E443" s="123">
        <f t="shared" si="29"/>
        <v>14</v>
      </c>
      <c r="F443" s="270">
        <v>6241</v>
      </c>
    </row>
    <row r="444" spans="2:6" ht="18" customHeight="1">
      <c r="B444" s="242">
        <f t="shared" si="30"/>
        <v>45366</v>
      </c>
      <c r="C444" s="123">
        <f t="shared" si="27"/>
        <v>2024</v>
      </c>
      <c r="D444" s="123">
        <f t="shared" si="28"/>
        <v>3</v>
      </c>
      <c r="E444" s="123">
        <f t="shared" si="29"/>
        <v>15</v>
      </c>
      <c r="F444" s="270">
        <v>6088</v>
      </c>
    </row>
    <row r="445" spans="2:6" ht="18" customHeight="1">
      <c r="B445" s="242">
        <f t="shared" si="30"/>
        <v>45367</v>
      </c>
      <c r="C445" s="123">
        <f t="shared" si="27"/>
        <v>2024</v>
      </c>
      <c r="D445" s="123">
        <f t="shared" si="28"/>
        <v>3</v>
      </c>
      <c r="E445" s="123">
        <f t="shared" si="29"/>
        <v>16</v>
      </c>
      <c r="F445" s="270">
        <v>6809</v>
      </c>
    </row>
    <row r="446" spans="2:6" ht="18" customHeight="1">
      <c r="B446" s="242">
        <f t="shared" si="30"/>
        <v>45368</v>
      </c>
      <c r="C446" s="123">
        <f t="shared" si="27"/>
        <v>2024</v>
      </c>
      <c r="D446" s="123">
        <f t="shared" si="28"/>
        <v>3</v>
      </c>
      <c r="E446" s="123">
        <f t="shared" si="29"/>
        <v>17</v>
      </c>
      <c r="F446" s="270">
        <v>6568</v>
      </c>
    </row>
    <row r="447" spans="2:6" ht="18" customHeight="1">
      <c r="B447" s="242">
        <f t="shared" si="30"/>
        <v>45369</v>
      </c>
      <c r="C447" s="123">
        <f t="shared" si="27"/>
        <v>2024</v>
      </c>
      <c r="D447" s="123">
        <f t="shared" si="28"/>
        <v>3</v>
      </c>
      <c r="E447" s="123">
        <f t="shared" si="29"/>
        <v>18</v>
      </c>
      <c r="F447" s="270">
        <v>9355</v>
      </c>
    </row>
    <row r="448" spans="2:6" ht="18" customHeight="1">
      <c r="B448" s="242">
        <f t="shared" si="30"/>
        <v>45370</v>
      </c>
      <c r="C448" s="123">
        <f t="shared" si="27"/>
        <v>2024</v>
      </c>
      <c r="D448" s="123">
        <f t="shared" si="28"/>
        <v>3</v>
      </c>
      <c r="E448" s="123">
        <f t="shared" si="29"/>
        <v>19</v>
      </c>
      <c r="F448" s="270">
        <v>8833</v>
      </c>
    </row>
    <row r="449" spans="2:6" ht="18" customHeight="1">
      <c r="B449" s="242">
        <f t="shared" si="30"/>
        <v>45371</v>
      </c>
      <c r="C449" s="123">
        <f t="shared" si="27"/>
        <v>2024</v>
      </c>
      <c r="D449" s="123">
        <f t="shared" si="28"/>
        <v>3</v>
      </c>
      <c r="E449" s="123">
        <f t="shared" si="29"/>
        <v>20</v>
      </c>
      <c r="F449" s="270">
        <v>5411</v>
      </c>
    </row>
    <row r="450" spans="2:6" ht="18" customHeight="1">
      <c r="B450" s="242">
        <f t="shared" si="30"/>
        <v>45372</v>
      </c>
      <c r="C450" s="123">
        <f t="shared" si="27"/>
        <v>2024</v>
      </c>
      <c r="D450" s="123">
        <f t="shared" si="28"/>
        <v>3</v>
      </c>
      <c r="E450" s="123">
        <f t="shared" si="29"/>
        <v>21</v>
      </c>
      <c r="F450" s="270">
        <v>10203</v>
      </c>
    </row>
    <row r="451" spans="2:6" ht="18" customHeight="1">
      <c r="B451" s="242">
        <f t="shared" si="30"/>
        <v>45373</v>
      </c>
      <c r="C451" s="123">
        <f t="shared" si="27"/>
        <v>2024</v>
      </c>
      <c r="D451" s="123">
        <f t="shared" si="28"/>
        <v>3</v>
      </c>
      <c r="E451" s="123">
        <f t="shared" si="29"/>
        <v>22</v>
      </c>
      <c r="F451" s="270">
        <v>3734</v>
      </c>
    </row>
    <row r="452" spans="2:6" ht="18" customHeight="1">
      <c r="B452" s="242">
        <f t="shared" si="30"/>
        <v>45374</v>
      </c>
      <c r="C452" s="123">
        <f t="shared" si="27"/>
        <v>2024</v>
      </c>
      <c r="D452" s="123">
        <f t="shared" si="28"/>
        <v>3</v>
      </c>
      <c r="E452" s="123">
        <f t="shared" si="29"/>
        <v>23</v>
      </c>
      <c r="F452" s="270">
        <v>7473</v>
      </c>
    </row>
    <row r="453" spans="2:6" ht="18" customHeight="1">
      <c r="B453" s="242">
        <f t="shared" si="30"/>
        <v>45375</v>
      </c>
      <c r="C453" s="123">
        <f t="shared" si="27"/>
        <v>2024</v>
      </c>
      <c r="D453" s="123">
        <f t="shared" si="28"/>
        <v>3</v>
      </c>
      <c r="E453" s="123">
        <f t="shared" si="29"/>
        <v>24</v>
      </c>
      <c r="F453" s="270">
        <v>7539</v>
      </c>
    </row>
    <row r="454" spans="2:6" ht="18" customHeight="1">
      <c r="B454" s="242">
        <f t="shared" si="30"/>
        <v>45376</v>
      </c>
      <c r="C454" s="123">
        <f t="shared" ref="C454:C517" si="31">YEAR(B454)</f>
        <v>2024</v>
      </c>
      <c r="D454" s="123">
        <f t="shared" ref="D454:D517" si="32">MONTH(B454)</f>
        <v>3</v>
      </c>
      <c r="E454" s="123">
        <f t="shared" ref="E454:E517" si="33">DAY(B454)</f>
        <v>25</v>
      </c>
      <c r="F454" s="270">
        <v>4597</v>
      </c>
    </row>
    <row r="455" spans="2:6" ht="18" customHeight="1">
      <c r="B455" s="242">
        <f t="shared" si="30"/>
        <v>45377</v>
      </c>
      <c r="C455" s="123">
        <f t="shared" si="31"/>
        <v>2024</v>
      </c>
      <c r="D455" s="123">
        <f t="shared" si="32"/>
        <v>3</v>
      </c>
      <c r="E455" s="123">
        <f t="shared" si="33"/>
        <v>26</v>
      </c>
      <c r="F455" s="270">
        <v>3955</v>
      </c>
    </row>
    <row r="456" spans="2:6" ht="18" customHeight="1">
      <c r="B456" s="242">
        <f t="shared" si="30"/>
        <v>45378</v>
      </c>
      <c r="C456" s="123">
        <f t="shared" si="31"/>
        <v>2024</v>
      </c>
      <c r="D456" s="123">
        <f t="shared" si="32"/>
        <v>3</v>
      </c>
      <c r="E456" s="123">
        <f t="shared" si="33"/>
        <v>27</v>
      </c>
      <c r="F456" s="270">
        <v>2247</v>
      </c>
    </row>
    <row r="457" spans="2:6" ht="18" customHeight="1">
      <c r="B457" s="242">
        <f t="shared" si="30"/>
        <v>45379</v>
      </c>
      <c r="C457" s="123">
        <f t="shared" si="31"/>
        <v>2024</v>
      </c>
      <c r="D457" s="123">
        <f t="shared" si="32"/>
        <v>3</v>
      </c>
      <c r="E457" s="123">
        <f t="shared" si="33"/>
        <v>28</v>
      </c>
      <c r="F457" s="270">
        <v>2754</v>
      </c>
    </row>
    <row r="458" spans="2:6" ht="18" customHeight="1">
      <c r="B458" s="242">
        <f t="shared" si="30"/>
        <v>45380</v>
      </c>
      <c r="C458" s="123">
        <f t="shared" si="31"/>
        <v>2024</v>
      </c>
      <c r="D458" s="123">
        <f t="shared" si="32"/>
        <v>3</v>
      </c>
      <c r="E458" s="123">
        <f t="shared" si="33"/>
        <v>29</v>
      </c>
      <c r="F458" s="270">
        <v>1465</v>
      </c>
    </row>
    <row r="459" spans="2:6" ht="18" customHeight="1">
      <c r="B459" s="242">
        <f t="shared" si="30"/>
        <v>45381</v>
      </c>
      <c r="C459" s="123">
        <f t="shared" si="31"/>
        <v>2024</v>
      </c>
      <c r="D459" s="123">
        <f t="shared" si="32"/>
        <v>3</v>
      </c>
      <c r="E459" s="123">
        <f t="shared" si="33"/>
        <v>30</v>
      </c>
      <c r="F459" s="270">
        <v>9604</v>
      </c>
    </row>
    <row r="460" spans="2:6" ht="18" customHeight="1">
      <c r="B460" s="242">
        <f t="shared" si="30"/>
        <v>45382</v>
      </c>
      <c r="C460" s="123">
        <f t="shared" si="31"/>
        <v>2024</v>
      </c>
      <c r="D460" s="123">
        <f t="shared" si="32"/>
        <v>3</v>
      </c>
      <c r="E460" s="123">
        <f t="shared" si="33"/>
        <v>31</v>
      </c>
      <c r="F460" s="270">
        <v>4337</v>
      </c>
    </row>
    <row r="461" spans="2:6" ht="18" customHeight="1">
      <c r="B461" s="242">
        <f t="shared" si="30"/>
        <v>45383</v>
      </c>
      <c r="C461" s="123">
        <f t="shared" si="31"/>
        <v>2024</v>
      </c>
      <c r="D461" s="123">
        <f t="shared" si="32"/>
        <v>4</v>
      </c>
      <c r="E461" s="123">
        <f t="shared" si="33"/>
        <v>1</v>
      </c>
      <c r="F461" s="270">
        <v>5847</v>
      </c>
    </row>
    <row r="462" spans="2:6" ht="18" customHeight="1">
      <c r="B462" s="242">
        <f t="shared" si="30"/>
        <v>45384</v>
      </c>
      <c r="C462" s="123">
        <f t="shared" si="31"/>
        <v>2024</v>
      </c>
      <c r="D462" s="123">
        <f t="shared" si="32"/>
        <v>4</v>
      </c>
      <c r="E462" s="123">
        <f t="shared" si="33"/>
        <v>2</v>
      </c>
      <c r="F462" s="270">
        <v>5595</v>
      </c>
    </row>
    <row r="463" spans="2:6" ht="18" customHeight="1">
      <c r="B463" s="242">
        <f t="shared" si="30"/>
        <v>45385</v>
      </c>
      <c r="C463" s="123">
        <f t="shared" si="31"/>
        <v>2024</v>
      </c>
      <c r="D463" s="123">
        <f t="shared" si="32"/>
        <v>4</v>
      </c>
      <c r="E463" s="123">
        <f t="shared" si="33"/>
        <v>3</v>
      </c>
      <c r="F463" s="270">
        <v>7451</v>
      </c>
    </row>
    <row r="464" spans="2:6" ht="18" customHeight="1">
      <c r="B464" s="242">
        <f t="shared" si="30"/>
        <v>45386</v>
      </c>
      <c r="C464" s="123">
        <f t="shared" si="31"/>
        <v>2024</v>
      </c>
      <c r="D464" s="123">
        <f t="shared" si="32"/>
        <v>4</v>
      </c>
      <c r="E464" s="123">
        <f t="shared" si="33"/>
        <v>4</v>
      </c>
      <c r="F464" s="270">
        <v>7194</v>
      </c>
    </row>
    <row r="465" spans="2:6" ht="18" customHeight="1">
      <c r="B465" s="242">
        <f t="shared" si="30"/>
        <v>45387</v>
      </c>
      <c r="C465" s="123">
        <f t="shared" si="31"/>
        <v>2024</v>
      </c>
      <c r="D465" s="123">
        <f t="shared" si="32"/>
        <v>4</v>
      </c>
      <c r="E465" s="123">
        <f t="shared" si="33"/>
        <v>5</v>
      </c>
      <c r="F465" s="270">
        <v>2348</v>
      </c>
    </row>
    <row r="466" spans="2:6" ht="18" customHeight="1">
      <c r="B466" s="242">
        <f t="shared" si="30"/>
        <v>45388</v>
      </c>
      <c r="C466" s="123">
        <f t="shared" si="31"/>
        <v>2024</v>
      </c>
      <c r="D466" s="123">
        <f t="shared" si="32"/>
        <v>4</v>
      </c>
      <c r="E466" s="123">
        <f t="shared" si="33"/>
        <v>6</v>
      </c>
      <c r="F466" s="270">
        <v>6051</v>
      </c>
    </row>
    <row r="467" spans="2:6" ht="18" customHeight="1">
      <c r="B467" s="242">
        <f t="shared" si="30"/>
        <v>45389</v>
      </c>
      <c r="C467" s="123">
        <f t="shared" si="31"/>
        <v>2024</v>
      </c>
      <c r="D467" s="123">
        <f t="shared" si="32"/>
        <v>4</v>
      </c>
      <c r="E467" s="123">
        <f t="shared" si="33"/>
        <v>7</v>
      </c>
      <c r="F467" s="270">
        <v>2342</v>
      </c>
    </row>
    <row r="468" spans="2:6" ht="18" customHeight="1">
      <c r="B468" s="242">
        <f t="shared" si="30"/>
        <v>45390</v>
      </c>
      <c r="C468" s="123">
        <f t="shared" si="31"/>
        <v>2024</v>
      </c>
      <c r="D468" s="123">
        <f t="shared" si="32"/>
        <v>4</v>
      </c>
      <c r="E468" s="123">
        <f t="shared" si="33"/>
        <v>8</v>
      </c>
      <c r="F468" s="270">
        <v>9654</v>
      </c>
    </row>
    <row r="469" spans="2:6" ht="18" customHeight="1">
      <c r="B469" s="242">
        <f t="shared" si="30"/>
        <v>45391</v>
      </c>
      <c r="C469" s="123">
        <f t="shared" si="31"/>
        <v>2024</v>
      </c>
      <c r="D469" s="123">
        <f t="shared" si="32"/>
        <v>4</v>
      </c>
      <c r="E469" s="123">
        <f t="shared" si="33"/>
        <v>9</v>
      </c>
      <c r="F469" s="270">
        <v>4915</v>
      </c>
    </row>
    <row r="470" spans="2:6" ht="18" customHeight="1">
      <c r="B470" s="242">
        <f t="shared" si="30"/>
        <v>45392</v>
      </c>
      <c r="C470" s="123">
        <f t="shared" si="31"/>
        <v>2024</v>
      </c>
      <c r="D470" s="123">
        <f t="shared" si="32"/>
        <v>4</v>
      </c>
      <c r="E470" s="123">
        <f t="shared" si="33"/>
        <v>10</v>
      </c>
      <c r="F470" s="270">
        <v>4337</v>
      </c>
    </row>
    <row r="471" spans="2:6" ht="18" customHeight="1">
      <c r="B471" s="242">
        <f t="shared" si="30"/>
        <v>45393</v>
      </c>
      <c r="C471" s="123">
        <f t="shared" si="31"/>
        <v>2024</v>
      </c>
      <c r="D471" s="123">
        <f t="shared" si="32"/>
        <v>4</v>
      </c>
      <c r="E471" s="123">
        <f t="shared" si="33"/>
        <v>11</v>
      </c>
      <c r="F471" s="270">
        <v>5056</v>
      </c>
    </row>
    <row r="472" spans="2:6" ht="18" customHeight="1">
      <c r="B472" s="242">
        <f t="shared" si="30"/>
        <v>45394</v>
      </c>
      <c r="C472" s="123">
        <f t="shared" si="31"/>
        <v>2024</v>
      </c>
      <c r="D472" s="123">
        <f t="shared" si="32"/>
        <v>4</v>
      </c>
      <c r="E472" s="123">
        <f t="shared" si="33"/>
        <v>12</v>
      </c>
      <c r="F472" s="270">
        <v>3564</v>
      </c>
    </row>
    <row r="473" spans="2:6" ht="18" customHeight="1">
      <c r="B473" s="242">
        <f t="shared" si="30"/>
        <v>45395</v>
      </c>
      <c r="C473" s="123">
        <f t="shared" si="31"/>
        <v>2024</v>
      </c>
      <c r="D473" s="123">
        <f t="shared" si="32"/>
        <v>4</v>
      </c>
      <c r="E473" s="123">
        <f t="shared" si="33"/>
        <v>13</v>
      </c>
      <c r="F473" s="270">
        <v>4212</v>
      </c>
    </row>
    <row r="474" spans="2:6" ht="18" customHeight="1">
      <c r="B474" s="242">
        <f t="shared" si="30"/>
        <v>45396</v>
      </c>
      <c r="C474" s="123">
        <f t="shared" si="31"/>
        <v>2024</v>
      </c>
      <c r="D474" s="123">
        <f t="shared" si="32"/>
        <v>4</v>
      </c>
      <c r="E474" s="123">
        <f t="shared" si="33"/>
        <v>14</v>
      </c>
      <c r="F474" s="270">
        <v>6917</v>
      </c>
    </row>
    <row r="475" spans="2:6" ht="18" customHeight="1">
      <c r="B475" s="242">
        <f t="shared" si="30"/>
        <v>45397</v>
      </c>
      <c r="C475" s="123">
        <f t="shared" si="31"/>
        <v>2024</v>
      </c>
      <c r="D475" s="123">
        <f t="shared" si="32"/>
        <v>4</v>
      </c>
      <c r="E475" s="123">
        <f t="shared" si="33"/>
        <v>15</v>
      </c>
      <c r="F475" s="270">
        <v>6453</v>
      </c>
    </row>
    <row r="476" spans="2:6" ht="18" customHeight="1">
      <c r="B476" s="242">
        <f t="shared" si="30"/>
        <v>45398</v>
      </c>
      <c r="C476" s="123">
        <f t="shared" si="31"/>
        <v>2024</v>
      </c>
      <c r="D476" s="123">
        <f t="shared" si="32"/>
        <v>4</v>
      </c>
      <c r="E476" s="123">
        <f t="shared" si="33"/>
        <v>16</v>
      </c>
      <c r="F476" s="270">
        <v>8442</v>
      </c>
    </row>
    <row r="477" spans="2:6" ht="18" customHeight="1">
      <c r="B477" s="242">
        <f t="shared" si="30"/>
        <v>45399</v>
      </c>
      <c r="C477" s="123">
        <f t="shared" si="31"/>
        <v>2024</v>
      </c>
      <c r="D477" s="123">
        <f t="shared" si="32"/>
        <v>4</v>
      </c>
      <c r="E477" s="123">
        <f t="shared" si="33"/>
        <v>17</v>
      </c>
      <c r="F477" s="270">
        <v>3491</v>
      </c>
    </row>
    <row r="478" spans="2:6" ht="18" customHeight="1">
      <c r="B478" s="242">
        <f t="shared" si="30"/>
        <v>45400</v>
      </c>
      <c r="C478" s="123">
        <f t="shared" si="31"/>
        <v>2024</v>
      </c>
      <c r="D478" s="123">
        <f t="shared" si="32"/>
        <v>4</v>
      </c>
      <c r="E478" s="123">
        <f t="shared" si="33"/>
        <v>18</v>
      </c>
      <c r="F478" s="270">
        <v>6978</v>
      </c>
    </row>
    <row r="479" spans="2:6" ht="18" customHeight="1">
      <c r="B479" s="242">
        <f t="shared" si="30"/>
        <v>45401</v>
      </c>
      <c r="C479" s="123">
        <f t="shared" si="31"/>
        <v>2024</v>
      </c>
      <c r="D479" s="123">
        <f t="shared" si="32"/>
        <v>4</v>
      </c>
      <c r="E479" s="123">
        <f t="shared" si="33"/>
        <v>19</v>
      </c>
      <c r="F479" s="270">
        <v>4893</v>
      </c>
    </row>
    <row r="480" spans="2:6" ht="18" customHeight="1">
      <c r="B480" s="242">
        <f t="shared" si="30"/>
        <v>45402</v>
      </c>
      <c r="C480" s="123">
        <f t="shared" si="31"/>
        <v>2024</v>
      </c>
      <c r="D480" s="123">
        <f t="shared" si="32"/>
        <v>4</v>
      </c>
      <c r="E480" s="123">
        <f t="shared" si="33"/>
        <v>20</v>
      </c>
      <c r="F480" s="270">
        <v>1567</v>
      </c>
    </row>
    <row r="481" spans="2:6" ht="18" customHeight="1">
      <c r="B481" s="242">
        <f t="shared" si="30"/>
        <v>45403</v>
      </c>
      <c r="C481" s="123">
        <f t="shared" si="31"/>
        <v>2024</v>
      </c>
      <c r="D481" s="123">
        <f t="shared" si="32"/>
        <v>4</v>
      </c>
      <c r="E481" s="123">
        <f t="shared" si="33"/>
        <v>21</v>
      </c>
      <c r="F481" s="270">
        <v>6843</v>
      </c>
    </row>
    <row r="482" spans="2:6" ht="18" customHeight="1">
      <c r="B482" s="242">
        <f t="shared" si="30"/>
        <v>45404</v>
      </c>
      <c r="C482" s="123">
        <f t="shared" si="31"/>
        <v>2024</v>
      </c>
      <c r="D482" s="123">
        <f t="shared" si="32"/>
        <v>4</v>
      </c>
      <c r="E482" s="123">
        <f t="shared" si="33"/>
        <v>22</v>
      </c>
      <c r="F482" s="270">
        <v>8686</v>
      </c>
    </row>
    <row r="483" spans="2:6" ht="18" customHeight="1">
      <c r="B483" s="242">
        <f t="shared" si="30"/>
        <v>45405</v>
      </c>
      <c r="C483" s="123">
        <f t="shared" si="31"/>
        <v>2024</v>
      </c>
      <c r="D483" s="123">
        <f t="shared" si="32"/>
        <v>4</v>
      </c>
      <c r="E483" s="123">
        <f t="shared" si="33"/>
        <v>23</v>
      </c>
      <c r="F483" s="270">
        <v>10744</v>
      </c>
    </row>
    <row r="484" spans="2:6" ht="18" customHeight="1">
      <c r="B484" s="242">
        <f t="shared" si="30"/>
        <v>45406</v>
      </c>
      <c r="C484" s="123">
        <f t="shared" si="31"/>
        <v>2024</v>
      </c>
      <c r="D484" s="123">
        <f t="shared" si="32"/>
        <v>4</v>
      </c>
      <c r="E484" s="123">
        <f t="shared" si="33"/>
        <v>24</v>
      </c>
      <c r="F484" s="270">
        <v>2314</v>
      </c>
    </row>
    <row r="485" spans="2:6" ht="18" customHeight="1">
      <c r="B485" s="242">
        <f t="shared" si="30"/>
        <v>45407</v>
      </c>
      <c r="C485" s="123">
        <f t="shared" si="31"/>
        <v>2024</v>
      </c>
      <c r="D485" s="123">
        <f t="shared" si="32"/>
        <v>4</v>
      </c>
      <c r="E485" s="123">
        <f t="shared" si="33"/>
        <v>25</v>
      </c>
      <c r="F485" s="270">
        <v>3445</v>
      </c>
    </row>
    <row r="486" spans="2:6" ht="18" customHeight="1">
      <c r="B486" s="242">
        <f t="shared" si="30"/>
        <v>45408</v>
      </c>
      <c r="C486" s="123">
        <f t="shared" si="31"/>
        <v>2024</v>
      </c>
      <c r="D486" s="123">
        <f t="shared" si="32"/>
        <v>4</v>
      </c>
      <c r="E486" s="123">
        <f t="shared" si="33"/>
        <v>26</v>
      </c>
      <c r="F486" s="270">
        <v>1734</v>
      </c>
    </row>
    <row r="487" spans="2:6" ht="18" customHeight="1">
      <c r="B487" s="242">
        <f t="shared" si="30"/>
        <v>45409</v>
      </c>
      <c r="C487" s="123">
        <f t="shared" si="31"/>
        <v>2024</v>
      </c>
      <c r="D487" s="123">
        <f t="shared" si="32"/>
        <v>4</v>
      </c>
      <c r="E487" s="123">
        <f t="shared" si="33"/>
        <v>27</v>
      </c>
      <c r="F487" s="270">
        <v>4586</v>
      </c>
    </row>
    <row r="488" spans="2:6" ht="18" customHeight="1">
      <c r="B488" s="242">
        <f t="shared" si="30"/>
        <v>45410</v>
      </c>
      <c r="C488" s="123">
        <f t="shared" si="31"/>
        <v>2024</v>
      </c>
      <c r="D488" s="123">
        <f t="shared" si="32"/>
        <v>4</v>
      </c>
      <c r="E488" s="123">
        <f t="shared" si="33"/>
        <v>28</v>
      </c>
      <c r="F488" s="270">
        <v>2691</v>
      </c>
    </row>
    <row r="489" spans="2:6" ht="18" customHeight="1">
      <c r="B489" s="242">
        <f t="shared" si="30"/>
        <v>45411</v>
      </c>
      <c r="C489" s="123">
        <f t="shared" si="31"/>
        <v>2024</v>
      </c>
      <c r="D489" s="123">
        <f t="shared" si="32"/>
        <v>4</v>
      </c>
      <c r="E489" s="123">
        <f t="shared" si="33"/>
        <v>29</v>
      </c>
      <c r="F489" s="270">
        <v>9639</v>
      </c>
    </row>
    <row r="490" spans="2:6" ht="18" customHeight="1">
      <c r="B490" s="242">
        <f t="shared" si="30"/>
        <v>45412</v>
      </c>
      <c r="C490" s="123">
        <f t="shared" si="31"/>
        <v>2024</v>
      </c>
      <c r="D490" s="123">
        <f t="shared" si="32"/>
        <v>4</v>
      </c>
      <c r="E490" s="123">
        <f t="shared" si="33"/>
        <v>30</v>
      </c>
      <c r="F490" s="270">
        <v>5778</v>
      </c>
    </row>
    <row r="491" spans="2:6" ht="18" customHeight="1">
      <c r="B491" s="242">
        <f t="shared" si="30"/>
        <v>45413</v>
      </c>
      <c r="C491" s="123">
        <f t="shared" si="31"/>
        <v>2024</v>
      </c>
      <c r="D491" s="123">
        <f t="shared" si="32"/>
        <v>5</v>
      </c>
      <c r="E491" s="123">
        <f t="shared" si="33"/>
        <v>1</v>
      </c>
      <c r="F491" s="270">
        <v>7052</v>
      </c>
    </row>
    <row r="492" spans="2:6" ht="18" customHeight="1">
      <c r="B492" s="242">
        <f t="shared" si="30"/>
        <v>45414</v>
      </c>
      <c r="C492" s="123">
        <f t="shared" si="31"/>
        <v>2024</v>
      </c>
      <c r="D492" s="123">
        <f t="shared" si="32"/>
        <v>5</v>
      </c>
      <c r="E492" s="123">
        <f t="shared" si="33"/>
        <v>2</v>
      </c>
      <c r="F492" s="270">
        <v>6839</v>
      </c>
    </row>
    <row r="493" spans="2:6" ht="18" customHeight="1">
      <c r="B493" s="242">
        <f t="shared" si="30"/>
        <v>45415</v>
      </c>
      <c r="C493" s="123">
        <f t="shared" si="31"/>
        <v>2024</v>
      </c>
      <c r="D493" s="123">
        <f t="shared" si="32"/>
        <v>5</v>
      </c>
      <c r="E493" s="123">
        <f t="shared" si="33"/>
        <v>3</v>
      </c>
      <c r="F493" s="270">
        <v>2267</v>
      </c>
    </row>
    <row r="494" spans="2:6" ht="18" customHeight="1">
      <c r="B494" s="242">
        <f t="shared" si="30"/>
        <v>45416</v>
      </c>
      <c r="C494" s="123">
        <f t="shared" si="31"/>
        <v>2024</v>
      </c>
      <c r="D494" s="123">
        <f t="shared" si="32"/>
        <v>5</v>
      </c>
      <c r="E494" s="123">
        <f t="shared" si="33"/>
        <v>4</v>
      </c>
      <c r="F494" s="270">
        <v>8772</v>
      </c>
    </row>
    <row r="495" spans="2:6" ht="18" customHeight="1">
      <c r="B495" s="242">
        <f t="shared" si="30"/>
        <v>45417</v>
      </c>
      <c r="C495" s="123">
        <f t="shared" si="31"/>
        <v>2024</v>
      </c>
      <c r="D495" s="123">
        <f t="shared" si="32"/>
        <v>5</v>
      </c>
      <c r="E495" s="123">
        <f t="shared" si="33"/>
        <v>5</v>
      </c>
      <c r="F495" s="270">
        <v>7906</v>
      </c>
    </row>
    <row r="496" spans="2:6" ht="18" customHeight="1">
      <c r="B496" s="242">
        <f t="shared" si="30"/>
        <v>45418</v>
      </c>
      <c r="C496" s="123">
        <f t="shared" si="31"/>
        <v>2024</v>
      </c>
      <c r="D496" s="123">
        <f t="shared" si="32"/>
        <v>5</v>
      </c>
      <c r="E496" s="123">
        <f t="shared" si="33"/>
        <v>6</v>
      </c>
      <c r="F496" s="270">
        <v>5576</v>
      </c>
    </row>
    <row r="497" spans="2:6" ht="18" customHeight="1">
      <c r="B497" s="242">
        <f t="shared" si="30"/>
        <v>45419</v>
      </c>
      <c r="C497" s="123">
        <f t="shared" si="31"/>
        <v>2024</v>
      </c>
      <c r="D497" s="123">
        <f t="shared" si="32"/>
        <v>5</v>
      </c>
      <c r="E497" s="123">
        <f t="shared" si="33"/>
        <v>7</v>
      </c>
      <c r="F497" s="270">
        <v>4004</v>
      </c>
    </row>
    <row r="498" spans="2:6" ht="18" customHeight="1">
      <c r="B498" s="242">
        <f t="shared" si="30"/>
        <v>45420</v>
      </c>
      <c r="C498" s="123">
        <f t="shared" si="31"/>
        <v>2024</v>
      </c>
      <c r="D498" s="123">
        <f t="shared" si="32"/>
        <v>5</v>
      </c>
      <c r="E498" s="123">
        <f t="shared" si="33"/>
        <v>8</v>
      </c>
      <c r="F498" s="270">
        <v>1339</v>
      </c>
    </row>
    <row r="499" spans="2:6" ht="18" customHeight="1">
      <c r="B499" s="242">
        <f t="shared" si="30"/>
        <v>45421</v>
      </c>
      <c r="C499" s="123">
        <f t="shared" si="31"/>
        <v>2024</v>
      </c>
      <c r="D499" s="123">
        <f t="shared" si="32"/>
        <v>5</v>
      </c>
      <c r="E499" s="123">
        <f t="shared" si="33"/>
        <v>9</v>
      </c>
      <c r="F499" s="270">
        <v>5779</v>
      </c>
    </row>
    <row r="500" spans="2:6" ht="18" customHeight="1">
      <c r="B500" s="242">
        <f t="shared" ref="B500:B563" si="34">+B499+1</f>
        <v>45422</v>
      </c>
      <c r="C500" s="123">
        <f t="shared" si="31"/>
        <v>2024</v>
      </c>
      <c r="D500" s="123">
        <f t="shared" si="32"/>
        <v>5</v>
      </c>
      <c r="E500" s="123">
        <f t="shared" si="33"/>
        <v>10</v>
      </c>
      <c r="F500" s="270">
        <v>6557</v>
      </c>
    </row>
    <row r="501" spans="2:6" ht="18" customHeight="1">
      <c r="B501" s="242">
        <f t="shared" si="34"/>
        <v>45423</v>
      </c>
      <c r="C501" s="123">
        <f t="shared" si="31"/>
        <v>2024</v>
      </c>
      <c r="D501" s="123">
        <f t="shared" si="32"/>
        <v>5</v>
      </c>
      <c r="E501" s="123">
        <f t="shared" si="33"/>
        <v>11</v>
      </c>
      <c r="F501" s="270">
        <v>4096</v>
      </c>
    </row>
    <row r="502" spans="2:6" ht="18" customHeight="1">
      <c r="B502" s="242">
        <f t="shared" si="34"/>
        <v>45424</v>
      </c>
      <c r="C502" s="123">
        <f t="shared" si="31"/>
        <v>2024</v>
      </c>
      <c r="D502" s="123">
        <f t="shared" si="32"/>
        <v>5</v>
      </c>
      <c r="E502" s="123">
        <f t="shared" si="33"/>
        <v>12</v>
      </c>
      <c r="F502" s="270">
        <v>6968</v>
      </c>
    </row>
    <row r="503" spans="2:6" ht="18" customHeight="1">
      <c r="B503" s="242">
        <f t="shared" si="34"/>
        <v>45425</v>
      </c>
      <c r="C503" s="123">
        <f t="shared" si="31"/>
        <v>2024</v>
      </c>
      <c r="D503" s="123">
        <f t="shared" si="32"/>
        <v>5</v>
      </c>
      <c r="E503" s="123">
        <f t="shared" si="33"/>
        <v>13</v>
      </c>
      <c r="F503" s="270">
        <v>7022</v>
      </c>
    </row>
    <row r="504" spans="2:6" ht="18" customHeight="1">
      <c r="B504" s="242">
        <f t="shared" si="34"/>
        <v>45426</v>
      </c>
      <c r="C504" s="123">
        <f t="shared" si="31"/>
        <v>2024</v>
      </c>
      <c r="D504" s="123">
        <f t="shared" si="32"/>
        <v>5</v>
      </c>
      <c r="E504" s="123">
        <f t="shared" si="33"/>
        <v>14</v>
      </c>
      <c r="F504" s="270">
        <v>6982</v>
      </c>
    </row>
    <row r="505" spans="2:6" ht="18" customHeight="1">
      <c r="B505" s="242">
        <f t="shared" si="34"/>
        <v>45427</v>
      </c>
      <c r="C505" s="123">
        <f t="shared" si="31"/>
        <v>2024</v>
      </c>
      <c r="D505" s="123">
        <f t="shared" si="32"/>
        <v>5</v>
      </c>
      <c r="E505" s="123">
        <f t="shared" si="33"/>
        <v>15</v>
      </c>
      <c r="F505" s="270">
        <v>3191</v>
      </c>
    </row>
    <row r="506" spans="2:6" ht="18" customHeight="1">
      <c r="B506" s="242">
        <f t="shared" si="34"/>
        <v>45428</v>
      </c>
      <c r="C506" s="123">
        <f t="shared" si="31"/>
        <v>2024</v>
      </c>
      <c r="D506" s="123">
        <f t="shared" si="32"/>
        <v>5</v>
      </c>
      <c r="E506" s="123">
        <f t="shared" si="33"/>
        <v>16</v>
      </c>
      <c r="F506" s="270">
        <v>4107</v>
      </c>
    </row>
    <row r="507" spans="2:6" ht="18" customHeight="1">
      <c r="B507" s="242">
        <f t="shared" si="34"/>
        <v>45429</v>
      </c>
      <c r="C507" s="123">
        <f t="shared" si="31"/>
        <v>2024</v>
      </c>
      <c r="D507" s="123">
        <f t="shared" si="32"/>
        <v>5</v>
      </c>
      <c r="E507" s="123">
        <f t="shared" si="33"/>
        <v>17</v>
      </c>
      <c r="F507" s="270">
        <v>5060</v>
      </c>
    </row>
    <row r="508" spans="2:6" ht="18" customHeight="1">
      <c r="B508" s="242">
        <f t="shared" si="34"/>
        <v>45430</v>
      </c>
      <c r="C508" s="123">
        <f t="shared" si="31"/>
        <v>2024</v>
      </c>
      <c r="D508" s="123">
        <f t="shared" si="32"/>
        <v>5</v>
      </c>
      <c r="E508" s="123">
        <f t="shared" si="33"/>
        <v>18</v>
      </c>
      <c r="F508" s="270">
        <v>10862</v>
      </c>
    </row>
    <row r="509" spans="2:6" ht="18" customHeight="1">
      <c r="B509" s="242">
        <f t="shared" si="34"/>
        <v>45431</v>
      </c>
      <c r="C509" s="123">
        <f t="shared" si="31"/>
        <v>2024</v>
      </c>
      <c r="D509" s="123">
        <f t="shared" si="32"/>
        <v>5</v>
      </c>
      <c r="E509" s="123">
        <f t="shared" si="33"/>
        <v>19</v>
      </c>
      <c r="F509" s="270">
        <v>7900</v>
      </c>
    </row>
    <row r="510" spans="2:6" ht="18" customHeight="1">
      <c r="B510" s="242">
        <f t="shared" si="34"/>
        <v>45432</v>
      </c>
      <c r="C510" s="123">
        <f t="shared" si="31"/>
        <v>2024</v>
      </c>
      <c r="D510" s="123">
        <f t="shared" si="32"/>
        <v>5</v>
      </c>
      <c r="E510" s="123">
        <f t="shared" si="33"/>
        <v>20</v>
      </c>
      <c r="F510" s="270">
        <v>4035</v>
      </c>
    </row>
    <row r="511" spans="2:6" ht="18" customHeight="1">
      <c r="B511" s="242">
        <f t="shared" si="34"/>
        <v>45433</v>
      </c>
      <c r="C511" s="123">
        <f t="shared" si="31"/>
        <v>2024</v>
      </c>
      <c r="D511" s="123">
        <f t="shared" si="32"/>
        <v>5</v>
      </c>
      <c r="E511" s="123">
        <f t="shared" si="33"/>
        <v>21</v>
      </c>
      <c r="F511" s="270">
        <v>5194</v>
      </c>
    </row>
    <row r="512" spans="2:6" ht="18" customHeight="1">
      <c r="B512" s="242">
        <f t="shared" si="34"/>
        <v>45434</v>
      </c>
      <c r="C512" s="123">
        <f t="shared" si="31"/>
        <v>2024</v>
      </c>
      <c r="D512" s="123">
        <f t="shared" si="32"/>
        <v>5</v>
      </c>
      <c r="E512" s="123">
        <f t="shared" si="33"/>
        <v>22</v>
      </c>
      <c r="F512" s="270">
        <v>9307</v>
      </c>
    </row>
    <row r="513" spans="2:6" ht="18" customHeight="1">
      <c r="B513" s="242">
        <f t="shared" si="34"/>
        <v>45435</v>
      </c>
      <c r="C513" s="123">
        <f t="shared" si="31"/>
        <v>2024</v>
      </c>
      <c r="D513" s="123">
        <f t="shared" si="32"/>
        <v>5</v>
      </c>
      <c r="E513" s="123">
        <f t="shared" si="33"/>
        <v>23</v>
      </c>
      <c r="F513" s="270">
        <v>5128</v>
      </c>
    </row>
    <row r="514" spans="2:6" ht="18" customHeight="1">
      <c r="B514" s="242">
        <f t="shared" si="34"/>
        <v>45436</v>
      </c>
      <c r="C514" s="123">
        <f t="shared" si="31"/>
        <v>2024</v>
      </c>
      <c r="D514" s="123">
        <f t="shared" si="32"/>
        <v>5</v>
      </c>
      <c r="E514" s="123">
        <f t="shared" si="33"/>
        <v>24</v>
      </c>
      <c r="F514" s="270">
        <v>6437</v>
      </c>
    </row>
    <row r="515" spans="2:6" ht="18" customHeight="1">
      <c r="B515" s="242">
        <f t="shared" si="34"/>
        <v>45437</v>
      </c>
      <c r="C515" s="123">
        <f t="shared" si="31"/>
        <v>2024</v>
      </c>
      <c r="D515" s="123">
        <f t="shared" si="32"/>
        <v>5</v>
      </c>
      <c r="E515" s="123">
        <f t="shared" si="33"/>
        <v>25</v>
      </c>
      <c r="F515" s="270">
        <v>9626</v>
      </c>
    </row>
    <row r="516" spans="2:6" ht="18" customHeight="1">
      <c r="B516" s="242">
        <f t="shared" si="34"/>
        <v>45438</v>
      </c>
      <c r="C516" s="123">
        <f t="shared" si="31"/>
        <v>2024</v>
      </c>
      <c r="D516" s="123">
        <f t="shared" si="32"/>
        <v>5</v>
      </c>
      <c r="E516" s="123">
        <f t="shared" si="33"/>
        <v>26</v>
      </c>
      <c r="F516" s="270">
        <v>9808</v>
      </c>
    </row>
    <row r="517" spans="2:6" ht="18" customHeight="1">
      <c r="B517" s="242">
        <f t="shared" si="34"/>
        <v>45439</v>
      </c>
      <c r="C517" s="123">
        <f t="shared" si="31"/>
        <v>2024</v>
      </c>
      <c r="D517" s="123">
        <f t="shared" si="32"/>
        <v>5</v>
      </c>
      <c r="E517" s="123">
        <f t="shared" si="33"/>
        <v>27</v>
      </c>
      <c r="F517" s="270">
        <v>8634</v>
      </c>
    </row>
    <row r="518" spans="2:6" ht="18" customHeight="1">
      <c r="B518" s="242">
        <f t="shared" si="34"/>
        <v>45440</v>
      </c>
      <c r="C518" s="123">
        <f t="shared" ref="C518:C581" si="35">YEAR(B518)</f>
        <v>2024</v>
      </c>
      <c r="D518" s="123">
        <f t="shared" ref="D518:D581" si="36">MONTH(B518)</f>
        <v>5</v>
      </c>
      <c r="E518" s="123">
        <f t="shared" ref="E518:E581" si="37">DAY(B518)</f>
        <v>28</v>
      </c>
      <c r="F518" s="270">
        <v>7603</v>
      </c>
    </row>
    <row r="519" spans="2:6" ht="18" customHeight="1">
      <c r="B519" s="242">
        <f t="shared" si="34"/>
        <v>45441</v>
      </c>
      <c r="C519" s="123">
        <f t="shared" si="35"/>
        <v>2024</v>
      </c>
      <c r="D519" s="123">
        <f t="shared" si="36"/>
        <v>5</v>
      </c>
      <c r="E519" s="123">
        <f t="shared" si="37"/>
        <v>29</v>
      </c>
      <c r="F519" s="270">
        <v>3473</v>
      </c>
    </row>
    <row r="520" spans="2:6" ht="18" customHeight="1">
      <c r="B520" s="242">
        <f t="shared" si="34"/>
        <v>45442</v>
      </c>
      <c r="C520" s="123">
        <f t="shared" si="35"/>
        <v>2024</v>
      </c>
      <c r="D520" s="123">
        <f t="shared" si="36"/>
        <v>5</v>
      </c>
      <c r="E520" s="123">
        <f t="shared" si="37"/>
        <v>30</v>
      </c>
      <c r="F520" s="270">
        <v>9303</v>
      </c>
    </row>
    <row r="521" spans="2:6" ht="18" customHeight="1">
      <c r="B521" s="242">
        <f t="shared" si="34"/>
        <v>45443</v>
      </c>
      <c r="C521" s="123">
        <f t="shared" si="35"/>
        <v>2024</v>
      </c>
      <c r="D521" s="123">
        <f t="shared" si="36"/>
        <v>5</v>
      </c>
      <c r="E521" s="123">
        <f t="shared" si="37"/>
        <v>31</v>
      </c>
      <c r="F521" s="270">
        <v>2058</v>
      </c>
    </row>
    <row r="522" spans="2:6" ht="18" customHeight="1">
      <c r="B522" s="242">
        <f t="shared" si="34"/>
        <v>45444</v>
      </c>
      <c r="C522" s="123">
        <f t="shared" si="35"/>
        <v>2024</v>
      </c>
      <c r="D522" s="123">
        <f t="shared" si="36"/>
        <v>6</v>
      </c>
      <c r="E522" s="123">
        <f t="shared" si="37"/>
        <v>1</v>
      </c>
      <c r="F522" s="270">
        <v>2781</v>
      </c>
    </row>
    <row r="523" spans="2:6" ht="18" customHeight="1">
      <c r="B523" s="242">
        <f t="shared" si="34"/>
        <v>45445</v>
      </c>
      <c r="C523" s="123">
        <f t="shared" si="35"/>
        <v>2024</v>
      </c>
      <c r="D523" s="123">
        <f t="shared" si="36"/>
        <v>6</v>
      </c>
      <c r="E523" s="123">
        <f t="shared" si="37"/>
        <v>2</v>
      </c>
      <c r="F523" s="270">
        <v>4121</v>
      </c>
    </row>
    <row r="524" spans="2:6" ht="18" customHeight="1">
      <c r="B524" s="242">
        <f t="shared" si="34"/>
        <v>45446</v>
      </c>
      <c r="C524" s="123">
        <f t="shared" si="35"/>
        <v>2024</v>
      </c>
      <c r="D524" s="123">
        <f t="shared" si="36"/>
        <v>6</v>
      </c>
      <c r="E524" s="123">
        <f t="shared" si="37"/>
        <v>3</v>
      </c>
      <c r="F524" s="270">
        <v>2195</v>
      </c>
    </row>
    <row r="525" spans="2:6" ht="18" customHeight="1">
      <c r="B525" s="242">
        <f t="shared" si="34"/>
        <v>45447</v>
      </c>
      <c r="C525" s="123">
        <f t="shared" si="35"/>
        <v>2024</v>
      </c>
      <c r="D525" s="123">
        <f t="shared" si="36"/>
        <v>6</v>
      </c>
      <c r="E525" s="123">
        <f t="shared" si="37"/>
        <v>4</v>
      </c>
      <c r="F525" s="270">
        <v>5968</v>
      </c>
    </row>
    <row r="526" spans="2:6" ht="18" customHeight="1">
      <c r="B526" s="242">
        <f t="shared" si="34"/>
        <v>45448</v>
      </c>
      <c r="C526" s="123">
        <f t="shared" si="35"/>
        <v>2024</v>
      </c>
      <c r="D526" s="123">
        <f t="shared" si="36"/>
        <v>6</v>
      </c>
      <c r="E526" s="123">
        <f t="shared" si="37"/>
        <v>5</v>
      </c>
      <c r="F526" s="270">
        <v>4203</v>
      </c>
    </row>
    <row r="527" spans="2:6" ht="18" customHeight="1">
      <c r="B527" s="242">
        <f t="shared" si="34"/>
        <v>45449</v>
      </c>
      <c r="C527" s="123">
        <f t="shared" si="35"/>
        <v>2024</v>
      </c>
      <c r="D527" s="123">
        <f t="shared" si="36"/>
        <v>6</v>
      </c>
      <c r="E527" s="123">
        <f t="shared" si="37"/>
        <v>6</v>
      </c>
      <c r="F527" s="270">
        <v>4243</v>
      </c>
    </row>
    <row r="528" spans="2:6" ht="18" customHeight="1">
      <c r="B528" s="242">
        <f t="shared" si="34"/>
        <v>45450</v>
      </c>
      <c r="C528" s="123">
        <f t="shared" si="35"/>
        <v>2024</v>
      </c>
      <c r="D528" s="123">
        <f t="shared" si="36"/>
        <v>6</v>
      </c>
      <c r="E528" s="123">
        <f t="shared" si="37"/>
        <v>7</v>
      </c>
      <c r="F528" s="270">
        <v>3533</v>
      </c>
    </row>
    <row r="529" spans="2:6" ht="18" customHeight="1">
      <c r="B529" s="242">
        <f t="shared" si="34"/>
        <v>45451</v>
      </c>
      <c r="C529" s="123">
        <f t="shared" si="35"/>
        <v>2024</v>
      </c>
      <c r="D529" s="123">
        <f t="shared" si="36"/>
        <v>6</v>
      </c>
      <c r="E529" s="123">
        <f t="shared" si="37"/>
        <v>8</v>
      </c>
      <c r="F529" s="270">
        <v>6511</v>
      </c>
    </row>
    <row r="530" spans="2:6" ht="18" customHeight="1">
      <c r="B530" s="242">
        <f t="shared" si="34"/>
        <v>45452</v>
      </c>
      <c r="C530" s="123">
        <f t="shared" si="35"/>
        <v>2024</v>
      </c>
      <c r="D530" s="123">
        <f t="shared" si="36"/>
        <v>6</v>
      </c>
      <c r="E530" s="123">
        <f t="shared" si="37"/>
        <v>9</v>
      </c>
      <c r="F530" s="270">
        <v>10263</v>
      </c>
    </row>
    <row r="531" spans="2:6" ht="18" customHeight="1">
      <c r="B531" s="242">
        <f t="shared" si="34"/>
        <v>45453</v>
      </c>
      <c r="C531" s="123">
        <f t="shared" si="35"/>
        <v>2024</v>
      </c>
      <c r="D531" s="123">
        <f t="shared" si="36"/>
        <v>6</v>
      </c>
      <c r="E531" s="123">
        <f t="shared" si="37"/>
        <v>10</v>
      </c>
      <c r="F531" s="270">
        <v>5740</v>
      </c>
    </row>
    <row r="532" spans="2:6" ht="18" customHeight="1">
      <c r="B532" s="242">
        <f t="shared" si="34"/>
        <v>45454</v>
      </c>
      <c r="C532" s="123">
        <f t="shared" si="35"/>
        <v>2024</v>
      </c>
      <c r="D532" s="123">
        <f t="shared" si="36"/>
        <v>6</v>
      </c>
      <c r="E532" s="123">
        <f t="shared" si="37"/>
        <v>11</v>
      </c>
      <c r="F532" s="270">
        <v>8578</v>
      </c>
    </row>
    <row r="533" spans="2:6" ht="18" customHeight="1">
      <c r="B533" s="242">
        <f t="shared" si="34"/>
        <v>45455</v>
      </c>
      <c r="C533" s="123">
        <f t="shared" si="35"/>
        <v>2024</v>
      </c>
      <c r="D533" s="123">
        <f t="shared" si="36"/>
        <v>6</v>
      </c>
      <c r="E533" s="123">
        <f t="shared" si="37"/>
        <v>12</v>
      </c>
      <c r="F533" s="270">
        <v>7342</v>
      </c>
    </row>
    <row r="534" spans="2:6" ht="18" customHeight="1">
      <c r="B534" s="242">
        <f t="shared" si="34"/>
        <v>45456</v>
      </c>
      <c r="C534" s="123">
        <f t="shared" si="35"/>
        <v>2024</v>
      </c>
      <c r="D534" s="123">
        <f t="shared" si="36"/>
        <v>6</v>
      </c>
      <c r="E534" s="123">
        <f t="shared" si="37"/>
        <v>13</v>
      </c>
      <c r="F534" s="270">
        <v>6514</v>
      </c>
    </row>
    <row r="535" spans="2:6" ht="18" customHeight="1">
      <c r="B535" s="242">
        <f t="shared" si="34"/>
        <v>45457</v>
      </c>
      <c r="C535" s="123">
        <f t="shared" si="35"/>
        <v>2024</v>
      </c>
      <c r="D535" s="123">
        <f t="shared" si="36"/>
        <v>6</v>
      </c>
      <c r="E535" s="123">
        <f t="shared" si="37"/>
        <v>14</v>
      </c>
      <c r="F535" s="270">
        <v>8497</v>
      </c>
    </row>
    <row r="536" spans="2:6" ht="18" customHeight="1">
      <c r="B536" s="242">
        <f t="shared" si="34"/>
        <v>45458</v>
      </c>
      <c r="C536" s="123">
        <f t="shared" si="35"/>
        <v>2024</v>
      </c>
      <c r="D536" s="123">
        <f t="shared" si="36"/>
        <v>6</v>
      </c>
      <c r="E536" s="123">
        <f t="shared" si="37"/>
        <v>15</v>
      </c>
      <c r="F536" s="270">
        <v>4754</v>
      </c>
    </row>
    <row r="537" spans="2:6" ht="18" customHeight="1">
      <c r="B537" s="242">
        <f t="shared" si="34"/>
        <v>45459</v>
      </c>
      <c r="C537" s="123">
        <f t="shared" si="35"/>
        <v>2024</v>
      </c>
      <c r="D537" s="123">
        <f t="shared" si="36"/>
        <v>6</v>
      </c>
      <c r="E537" s="123">
        <f t="shared" si="37"/>
        <v>16</v>
      </c>
      <c r="F537" s="270">
        <v>3245</v>
      </c>
    </row>
    <row r="538" spans="2:6" ht="18" customHeight="1">
      <c r="B538" s="242">
        <f t="shared" si="34"/>
        <v>45460</v>
      </c>
      <c r="C538" s="123">
        <f t="shared" si="35"/>
        <v>2024</v>
      </c>
      <c r="D538" s="123">
        <f t="shared" si="36"/>
        <v>6</v>
      </c>
      <c r="E538" s="123">
        <f t="shared" si="37"/>
        <v>17</v>
      </c>
      <c r="F538" s="270">
        <v>4617</v>
      </c>
    </row>
    <row r="539" spans="2:6" ht="18" customHeight="1">
      <c r="B539" s="242">
        <f t="shared" si="34"/>
        <v>45461</v>
      </c>
      <c r="C539" s="123">
        <f t="shared" si="35"/>
        <v>2024</v>
      </c>
      <c r="D539" s="123">
        <f t="shared" si="36"/>
        <v>6</v>
      </c>
      <c r="E539" s="123">
        <f t="shared" si="37"/>
        <v>18</v>
      </c>
      <c r="F539" s="270">
        <v>9948</v>
      </c>
    </row>
    <row r="540" spans="2:6" ht="18" customHeight="1">
      <c r="B540" s="242">
        <f t="shared" si="34"/>
        <v>45462</v>
      </c>
      <c r="C540" s="123">
        <f t="shared" si="35"/>
        <v>2024</v>
      </c>
      <c r="D540" s="123">
        <f t="shared" si="36"/>
        <v>6</v>
      </c>
      <c r="E540" s="123">
        <f t="shared" si="37"/>
        <v>19</v>
      </c>
      <c r="F540" s="270">
        <v>1699</v>
      </c>
    </row>
    <row r="541" spans="2:6" ht="18" customHeight="1">
      <c r="B541" s="242">
        <f t="shared" si="34"/>
        <v>45463</v>
      </c>
      <c r="C541" s="123">
        <f t="shared" si="35"/>
        <v>2024</v>
      </c>
      <c r="D541" s="123">
        <f t="shared" si="36"/>
        <v>6</v>
      </c>
      <c r="E541" s="123">
        <f t="shared" si="37"/>
        <v>20</v>
      </c>
      <c r="F541" s="270">
        <v>1653</v>
      </c>
    </row>
    <row r="542" spans="2:6" ht="18" customHeight="1">
      <c r="B542" s="242">
        <f t="shared" si="34"/>
        <v>45464</v>
      </c>
      <c r="C542" s="123">
        <f t="shared" si="35"/>
        <v>2024</v>
      </c>
      <c r="D542" s="123">
        <f t="shared" si="36"/>
        <v>6</v>
      </c>
      <c r="E542" s="123">
        <f t="shared" si="37"/>
        <v>21</v>
      </c>
      <c r="F542" s="270">
        <v>2733</v>
      </c>
    </row>
    <row r="543" spans="2:6" ht="18" customHeight="1">
      <c r="B543" s="242">
        <f t="shared" si="34"/>
        <v>45465</v>
      </c>
      <c r="C543" s="123">
        <f t="shared" si="35"/>
        <v>2024</v>
      </c>
      <c r="D543" s="123">
        <f t="shared" si="36"/>
        <v>6</v>
      </c>
      <c r="E543" s="123">
        <f t="shared" si="37"/>
        <v>22</v>
      </c>
      <c r="F543" s="270">
        <v>1611</v>
      </c>
    </row>
    <row r="544" spans="2:6" ht="18" customHeight="1">
      <c r="B544" s="242">
        <f t="shared" si="34"/>
        <v>45466</v>
      </c>
      <c r="C544" s="123">
        <f t="shared" si="35"/>
        <v>2024</v>
      </c>
      <c r="D544" s="123">
        <f t="shared" si="36"/>
        <v>6</v>
      </c>
      <c r="E544" s="123">
        <f t="shared" si="37"/>
        <v>23</v>
      </c>
      <c r="F544" s="270">
        <v>2515</v>
      </c>
    </row>
    <row r="545" spans="2:6" ht="18" customHeight="1">
      <c r="B545" s="242">
        <f t="shared" si="34"/>
        <v>45467</v>
      </c>
      <c r="C545" s="123">
        <f t="shared" si="35"/>
        <v>2024</v>
      </c>
      <c r="D545" s="123">
        <f t="shared" si="36"/>
        <v>6</v>
      </c>
      <c r="E545" s="123">
        <f t="shared" si="37"/>
        <v>24</v>
      </c>
      <c r="F545" s="270">
        <v>4642</v>
      </c>
    </row>
    <row r="546" spans="2:6" ht="18" customHeight="1">
      <c r="B546" s="242">
        <f t="shared" si="34"/>
        <v>45468</v>
      </c>
      <c r="C546" s="123">
        <f t="shared" si="35"/>
        <v>2024</v>
      </c>
      <c r="D546" s="123">
        <f t="shared" si="36"/>
        <v>6</v>
      </c>
      <c r="E546" s="123">
        <f t="shared" si="37"/>
        <v>25</v>
      </c>
      <c r="F546" s="270">
        <v>1323</v>
      </c>
    </row>
    <row r="547" spans="2:6" ht="18" customHeight="1">
      <c r="B547" s="242">
        <f t="shared" si="34"/>
        <v>45469</v>
      </c>
      <c r="C547" s="123">
        <f t="shared" si="35"/>
        <v>2024</v>
      </c>
      <c r="D547" s="123">
        <f t="shared" si="36"/>
        <v>6</v>
      </c>
      <c r="E547" s="123">
        <f t="shared" si="37"/>
        <v>26</v>
      </c>
      <c r="F547" s="270">
        <v>10928</v>
      </c>
    </row>
    <row r="548" spans="2:6" ht="18" customHeight="1">
      <c r="B548" s="242">
        <f t="shared" si="34"/>
        <v>45470</v>
      </c>
      <c r="C548" s="123">
        <f t="shared" si="35"/>
        <v>2024</v>
      </c>
      <c r="D548" s="123">
        <f t="shared" si="36"/>
        <v>6</v>
      </c>
      <c r="E548" s="123">
        <f t="shared" si="37"/>
        <v>27</v>
      </c>
      <c r="F548" s="270">
        <v>9448</v>
      </c>
    </row>
    <row r="549" spans="2:6" ht="18" customHeight="1">
      <c r="B549" s="242">
        <f t="shared" si="34"/>
        <v>45471</v>
      </c>
      <c r="C549" s="123">
        <f t="shared" si="35"/>
        <v>2024</v>
      </c>
      <c r="D549" s="123">
        <f t="shared" si="36"/>
        <v>6</v>
      </c>
      <c r="E549" s="123">
        <f t="shared" si="37"/>
        <v>28</v>
      </c>
      <c r="F549" s="270">
        <v>6551</v>
      </c>
    </row>
    <row r="550" spans="2:6" ht="18" customHeight="1">
      <c r="B550" s="242">
        <f t="shared" si="34"/>
        <v>45472</v>
      </c>
      <c r="C550" s="123">
        <f t="shared" si="35"/>
        <v>2024</v>
      </c>
      <c r="D550" s="123">
        <f t="shared" si="36"/>
        <v>6</v>
      </c>
      <c r="E550" s="123">
        <f t="shared" si="37"/>
        <v>29</v>
      </c>
      <c r="F550" s="270">
        <v>6292</v>
      </c>
    </row>
    <row r="551" spans="2:6" ht="18" customHeight="1">
      <c r="B551" s="242">
        <f t="shared" si="34"/>
        <v>45473</v>
      </c>
      <c r="C551" s="123">
        <f t="shared" si="35"/>
        <v>2024</v>
      </c>
      <c r="D551" s="123">
        <f t="shared" si="36"/>
        <v>6</v>
      </c>
      <c r="E551" s="123">
        <f t="shared" si="37"/>
        <v>30</v>
      </c>
      <c r="F551" s="270">
        <v>9437</v>
      </c>
    </row>
    <row r="552" spans="2:6" ht="18" customHeight="1">
      <c r="B552" s="242">
        <f t="shared" si="34"/>
        <v>45474</v>
      </c>
      <c r="C552" s="123">
        <f t="shared" si="35"/>
        <v>2024</v>
      </c>
      <c r="D552" s="123">
        <f t="shared" si="36"/>
        <v>7</v>
      </c>
      <c r="E552" s="123">
        <f t="shared" si="37"/>
        <v>1</v>
      </c>
      <c r="F552" s="270">
        <v>3757</v>
      </c>
    </row>
    <row r="553" spans="2:6" ht="18" customHeight="1">
      <c r="B553" s="242">
        <f t="shared" si="34"/>
        <v>45475</v>
      </c>
      <c r="C553" s="123">
        <f t="shared" si="35"/>
        <v>2024</v>
      </c>
      <c r="D553" s="123">
        <f t="shared" si="36"/>
        <v>7</v>
      </c>
      <c r="E553" s="123">
        <f t="shared" si="37"/>
        <v>2</v>
      </c>
      <c r="F553" s="270">
        <v>7824</v>
      </c>
    </row>
    <row r="554" spans="2:6" ht="18" customHeight="1">
      <c r="B554" s="242">
        <f t="shared" si="34"/>
        <v>45476</v>
      </c>
      <c r="C554" s="123">
        <f t="shared" si="35"/>
        <v>2024</v>
      </c>
      <c r="D554" s="123">
        <f t="shared" si="36"/>
        <v>7</v>
      </c>
      <c r="E554" s="123">
        <f t="shared" si="37"/>
        <v>3</v>
      </c>
      <c r="F554" s="270">
        <v>7101</v>
      </c>
    </row>
    <row r="555" spans="2:6" ht="18" customHeight="1">
      <c r="B555" s="242">
        <f t="shared" si="34"/>
        <v>45477</v>
      </c>
      <c r="C555" s="123">
        <f t="shared" si="35"/>
        <v>2024</v>
      </c>
      <c r="D555" s="123">
        <f t="shared" si="36"/>
        <v>7</v>
      </c>
      <c r="E555" s="123">
        <f t="shared" si="37"/>
        <v>4</v>
      </c>
      <c r="F555" s="270">
        <v>8995</v>
      </c>
    </row>
    <row r="556" spans="2:6" ht="18" customHeight="1">
      <c r="B556" s="242">
        <f t="shared" si="34"/>
        <v>45478</v>
      </c>
      <c r="C556" s="123">
        <f t="shared" si="35"/>
        <v>2024</v>
      </c>
      <c r="D556" s="123">
        <f t="shared" si="36"/>
        <v>7</v>
      </c>
      <c r="E556" s="123">
        <f t="shared" si="37"/>
        <v>5</v>
      </c>
      <c r="F556" s="270">
        <v>9121</v>
      </c>
    </row>
    <row r="557" spans="2:6" ht="18" customHeight="1">
      <c r="B557" s="242">
        <f t="shared" si="34"/>
        <v>45479</v>
      </c>
      <c r="C557" s="123">
        <f t="shared" si="35"/>
        <v>2024</v>
      </c>
      <c r="D557" s="123">
        <f t="shared" si="36"/>
        <v>7</v>
      </c>
      <c r="E557" s="123">
        <f t="shared" si="37"/>
        <v>6</v>
      </c>
      <c r="F557" s="270">
        <v>4510</v>
      </c>
    </row>
    <row r="558" spans="2:6" ht="18" customHeight="1">
      <c r="B558" s="242">
        <f t="shared" si="34"/>
        <v>45480</v>
      </c>
      <c r="C558" s="123">
        <f t="shared" si="35"/>
        <v>2024</v>
      </c>
      <c r="D558" s="123">
        <f t="shared" si="36"/>
        <v>7</v>
      </c>
      <c r="E558" s="123">
        <f t="shared" si="37"/>
        <v>7</v>
      </c>
      <c r="F558" s="270">
        <v>3288</v>
      </c>
    </row>
    <row r="559" spans="2:6" ht="18" customHeight="1">
      <c r="B559" s="242">
        <f t="shared" si="34"/>
        <v>45481</v>
      </c>
      <c r="C559" s="123">
        <f t="shared" si="35"/>
        <v>2024</v>
      </c>
      <c r="D559" s="123">
        <f t="shared" si="36"/>
        <v>7</v>
      </c>
      <c r="E559" s="123">
        <f t="shared" si="37"/>
        <v>8</v>
      </c>
      <c r="F559" s="270">
        <v>3505</v>
      </c>
    </row>
    <row r="560" spans="2:6" ht="18" customHeight="1">
      <c r="B560" s="242">
        <f t="shared" si="34"/>
        <v>45482</v>
      </c>
      <c r="C560" s="123">
        <f t="shared" si="35"/>
        <v>2024</v>
      </c>
      <c r="D560" s="123">
        <f t="shared" si="36"/>
        <v>7</v>
      </c>
      <c r="E560" s="123">
        <f t="shared" si="37"/>
        <v>9</v>
      </c>
      <c r="F560" s="270">
        <v>11195</v>
      </c>
    </row>
    <row r="561" spans="2:6" ht="18" customHeight="1">
      <c r="B561" s="242">
        <f t="shared" si="34"/>
        <v>45483</v>
      </c>
      <c r="C561" s="123">
        <f t="shared" si="35"/>
        <v>2024</v>
      </c>
      <c r="D561" s="123">
        <f t="shared" si="36"/>
        <v>7</v>
      </c>
      <c r="E561" s="123">
        <f t="shared" si="37"/>
        <v>10</v>
      </c>
      <c r="F561" s="270">
        <v>1219</v>
      </c>
    </row>
    <row r="562" spans="2:6" ht="18" customHeight="1">
      <c r="B562" s="242">
        <f t="shared" si="34"/>
        <v>45484</v>
      </c>
      <c r="C562" s="123">
        <f t="shared" si="35"/>
        <v>2024</v>
      </c>
      <c r="D562" s="123">
        <f t="shared" si="36"/>
        <v>7</v>
      </c>
      <c r="E562" s="123">
        <f t="shared" si="37"/>
        <v>11</v>
      </c>
      <c r="F562" s="270">
        <v>6468</v>
      </c>
    </row>
    <row r="563" spans="2:6" ht="18" customHeight="1">
      <c r="B563" s="242">
        <f t="shared" si="34"/>
        <v>45485</v>
      </c>
      <c r="C563" s="123">
        <f t="shared" si="35"/>
        <v>2024</v>
      </c>
      <c r="D563" s="123">
        <f t="shared" si="36"/>
        <v>7</v>
      </c>
      <c r="E563" s="123">
        <f t="shared" si="37"/>
        <v>12</v>
      </c>
      <c r="F563" s="270">
        <v>10792</v>
      </c>
    </row>
    <row r="564" spans="2:6" ht="18" customHeight="1">
      <c r="B564" s="242">
        <f t="shared" ref="B564:B627" si="38">+B563+1</f>
        <v>45486</v>
      </c>
      <c r="C564" s="123">
        <f t="shared" si="35"/>
        <v>2024</v>
      </c>
      <c r="D564" s="123">
        <f t="shared" si="36"/>
        <v>7</v>
      </c>
      <c r="E564" s="123">
        <f t="shared" si="37"/>
        <v>13</v>
      </c>
      <c r="F564" s="270">
        <v>2396</v>
      </c>
    </row>
    <row r="565" spans="2:6" ht="18" customHeight="1">
      <c r="B565" s="242">
        <f t="shared" si="38"/>
        <v>45487</v>
      </c>
      <c r="C565" s="123">
        <f t="shared" si="35"/>
        <v>2024</v>
      </c>
      <c r="D565" s="123">
        <f t="shared" si="36"/>
        <v>7</v>
      </c>
      <c r="E565" s="123">
        <f t="shared" si="37"/>
        <v>14</v>
      </c>
      <c r="F565" s="270">
        <v>5122</v>
      </c>
    </row>
    <row r="566" spans="2:6" ht="18" customHeight="1">
      <c r="B566" s="242">
        <f t="shared" si="38"/>
        <v>45488</v>
      </c>
      <c r="C566" s="123">
        <f t="shared" si="35"/>
        <v>2024</v>
      </c>
      <c r="D566" s="123">
        <f t="shared" si="36"/>
        <v>7</v>
      </c>
      <c r="E566" s="123">
        <f t="shared" si="37"/>
        <v>15</v>
      </c>
      <c r="F566" s="270">
        <v>2069</v>
      </c>
    </row>
    <row r="567" spans="2:6" ht="18" customHeight="1">
      <c r="B567" s="242">
        <f t="shared" si="38"/>
        <v>45489</v>
      </c>
      <c r="C567" s="123">
        <f t="shared" si="35"/>
        <v>2024</v>
      </c>
      <c r="D567" s="123">
        <f t="shared" si="36"/>
        <v>7</v>
      </c>
      <c r="E567" s="123">
        <f t="shared" si="37"/>
        <v>16</v>
      </c>
      <c r="F567" s="270">
        <v>2300</v>
      </c>
    </row>
    <row r="568" spans="2:6" ht="18" customHeight="1">
      <c r="B568" s="242">
        <f t="shared" si="38"/>
        <v>45490</v>
      </c>
      <c r="C568" s="123">
        <f t="shared" si="35"/>
        <v>2024</v>
      </c>
      <c r="D568" s="123">
        <f t="shared" si="36"/>
        <v>7</v>
      </c>
      <c r="E568" s="123">
        <f t="shared" si="37"/>
        <v>17</v>
      </c>
      <c r="F568" s="270">
        <v>6829</v>
      </c>
    </row>
    <row r="569" spans="2:6" ht="18" customHeight="1">
      <c r="B569" s="242">
        <f t="shared" si="38"/>
        <v>45491</v>
      </c>
      <c r="C569" s="123">
        <f t="shared" si="35"/>
        <v>2024</v>
      </c>
      <c r="D569" s="123">
        <f t="shared" si="36"/>
        <v>7</v>
      </c>
      <c r="E569" s="123">
        <f t="shared" si="37"/>
        <v>18</v>
      </c>
      <c r="F569" s="270">
        <v>8150</v>
      </c>
    </row>
    <row r="570" spans="2:6" ht="18" customHeight="1">
      <c r="B570" s="242">
        <f t="shared" si="38"/>
        <v>45492</v>
      </c>
      <c r="C570" s="123">
        <f t="shared" si="35"/>
        <v>2024</v>
      </c>
      <c r="D570" s="123">
        <f t="shared" si="36"/>
        <v>7</v>
      </c>
      <c r="E570" s="123">
        <f t="shared" si="37"/>
        <v>19</v>
      </c>
      <c r="F570" s="270">
        <v>2489</v>
      </c>
    </row>
    <row r="571" spans="2:6" ht="18" customHeight="1">
      <c r="B571" s="242">
        <f t="shared" si="38"/>
        <v>45493</v>
      </c>
      <c r="C571" s="123">
        <f t="shared" si="35"/>
        <v>2024</v>
      </c>
      <c r="D571" s="123">
        <f t="shared" si="36"/>
        <v>7</v>
      </c>
      <c r="E571" s="123">
        <f t="shared" si="37"/>
        <v>20</v>
      </c>
      <c r="F571" s="270">
        <v>4446</v>
      </c>
    </row>
    <row r="572" spans="2:6" ht="18" customHeight="1">
      <c r="B572" s="242">
        <f t="shared" si="38"/>
        <v>45494</v>
      </c>
      <c r="C572" s="123">
        <f t="shared" si="35"/>
        <v>2024</v>
      </c>
      <c r="D572" s="123">
        <f t="shared" si="36"/>
        <v>7</v>
      </c>
      <c r="E572" s="123">
        <f t="shared" si="37"/>
        <v>21</v>
      </c>
      <c r="F572" s="270">
        <v>10011</v>
      </c>
    </row>
    <row r="573" spans="2:6" ht="18" customHeight="1">
      <c r="B573" s="242">
        <f t="shared" si="38"/>
        <v>45495</v>
      </c>
      <c r="C573" s="123">
        <f t="shared" si="35"/>
        <v>2024</v>
      </c>
      <c r="D573" s="123">
        <f t="shared" si="36"/>
        <v>7</v>
      </c>
      <c r="E573" s="123">
        <f t="shared" si="37"/>
        <v>22</v>
      </c>
      <c r="F573" s="270">
        <v>3938</v>
      </c>
    </row>
    <row r="574" spans="2:6" ht="18" customHeight="1">
      <c r="B574" s="242">
        <f t="shared" si="38"/>
        <v>45496</v>
      </c>
      <c r="C574" s="123">
        <f t="shared" si="35"/>
        <v>2024</v>
      </c>
      <c r="D574" s="123">
        <f t="shared" si="36"/>
        <v>7</v>
      </c>
      <c r="E574" s="123">
        <f t="shared" si="37"/>
        <v>23</v>
      </c>
      <c r="F574" s="270">
        <v>6086</v>
      </c>
    </row>
    <row r="575" spans="2:6" ht="18" customHeight="1">
      <c r="B575" s="242">
        <f t="shared" si="38"/>
        <v>45497</v>
      </c>
      <c r="C575" s="123">
        <f t="shared" si="35"/>
        <v>2024</v>
      </c>
      <c r="D575" s="123">
        <f t="shared" si="36"/>
        <v>7</v>
      </c>
      <c r="E575" s="123">
        <f t="shared" si="37"/>
        <v>24</v>
      </c>
      <c r="F575" s="270">
        <v>6609</v>
      </c>
    </row>
    <row r="576" spans="2:6" ht="18" customHeight="1">
      <c r="B576" s="242">
        <f t="shared" si="38"/>
        <v>45498</v>
      </c>
      <c r="C576" s="123">
        <f t="shared" si="35"/>
        <v>2024</v>
      </c>
      <c r="D576" s="123">
        <f t="shared" si="36"/>
        <v>7</v>
      </c>
      <c r="E576" s="123">
        <f t="shared" si="37"/>
        <v>25</v>
      </c>
      <c r="F576" s="270">
        <v>2190</v>
      </c>
    </row>
    <row r="577" spans="2:6" ht="18" customHeight="1">
      <c r="B577" s="242">
        <f t="shared" si="38"/>
        <v>45499</v>
      </c>
      <c r="C577" s="123">
        <f t="shared" si="35"/>
        <v>2024</v>
      </c>
      <c r="D577" s="123">
        <f t="shared" si="36"/>
        <v>7</v>
      </c>
      <c r="E577" s="123">
        <f t="shared" si="37"/>
        <v>26</v>
      </c>
      <c r="F577" s="270">
        <v>3411</v>
      </c>
    </row>
    <row r="578" spans="2:6" ht="18" customHeight="1">
      <c r="B578" s="242">
        <f t="shared" si="38"/>
        <v>45500</v>
      </c>
      <c r="C578" s="123">
        <f t="shared" si="35"/>
        <v>2024</v>
      </c>
      <c r="D578" s="123">
        <f t="shared" si="36"/>
        <v>7</v>
      </c>
      <c r="E578" s="123">
        <f t="shared" si="37"/>
        <v>27</v>
      </c>
      <c r="F578" s="270">
        <v>3883</v>
      </c>
    </row>
    <row r="579" spans="2:6" ht="18" customHeight="1">
      <c r="B579" s="242">
        <f t="shared" si="38"/>
        <v>45501</v>
      </c>
      <c r="C579" s="123">
        <f t="shared" si="35"/>
        <v>2024</v>
      </c>
      <c r="D579" s="123">
        <f t="shared" si="36"/>
        <v>7</v>
      </c>
      <c r="E579" s="123">
        <f t="shared" si="37"/>
        <v>28</v>
      </c>
      <c r="F579" s="270">
        <v>3468</v>
      </c>
    </row>
    <row r="580" spans="2:6" ht="18" customHeight="1">
      <c r="B580" s="242">
        <f t="shared" si="38"/>
        <v>45502</v>
      </c>
      <c r="C580" s="123">
        <f t="shared" si="35"/>
        <v>2024</v>
      </c>
      <c r="D580" s="123">
        <f t="shared" si="36"/>
        <v>7</v>
      </c>
      <c r="E580" s="123">
        <f t="shared" si="37"/>
        <v>29</v>
      </c>
      <c r="F580" s="270">
        <v>1456</v>
      </c>
    </row>
    <row r="581" spans="2:6" ht="18" customHeight="1">
      <c r="B581" s="242">
        <f t="shared" si="38"/>
        <v>45503</v>
      </c>
      <c r="C581" s="123">
        <f t="shared" si="35"/>
        <v>2024</v>
      </c>
      <c r="D581" s="123">
        <f t="shared" si="36"/>
        <v>7</v>
      </c>
      <c r="E581" s="123">
        <f t="shared" si="37"/>
        <v>30</v>
      </c>
      <c r="F581" s="270">
        <v>4177</v>
      </c>
    </row>
    <row r="582" spans="2:6" ht="18" customHeight="1">
      <c r="B582" s="242">
        <f t="shared" si="38"/>
        <v>45504</v>
      </c>
      <c r="C582" s="123">
        <f t="shared" ref="C582:C645" si="39">YEAR(B582)</f>
        <v>2024</v>
      </c>
      <c r="D582" s="123">
        <f t="shared" ref="D582:D645" si="40">MONTH(B582)</f>
        <v>7</v>
      </c>
      <c r="E582" s="123">
        <f t="shared" ref="E582:E645" si="41">DAY(B582)</f>
        <v>31</v>
      </c>
      <c r="F582" s="270">
        <v>4908</v>
      </c>
    </row>
    <row r="583" spans="2:6" ht="18" customHeight="1">
      <c r="B583" s="242">
        <f t="shared" si="38"/>
        <v>45505</v>
      </c>
      <c r="C583" s="123">
        <f t="shared" si="39"/>
        <v>2024</v>
      </c>
      <c r="D583" s="123">
        <f t="shared" si="40"/>
        <v>8</v>
      </c>
      <c r="E583" s="123">
        <f t="shared" si="41"/>
        <v>1</v>
      </c>
      <c r="F583" s="270">
        <v>7817</v>
      </c>
    </row>
    <row r="584" spans="2:6" ht="18" customHeight="1">
      <c r="B584" s="242">
        <f t="shared" si="38"/>
        <v>45506</v>
      </c>
      <c r="C584" s="123">
        <f t="shared" si="39"/>
        <v>2024</v>
      </c>
      <c r="D584" s="123">
        <f t="shared" si="40"/>
        <v>8</v>
      </c>
      <c r="E584" s="123">
        <f t="shared" si="41"/>
        <v>2</v>
      </c>
      <c r="F584" s="270">
        <v>4490</v>
      </c>
    </row>
    <row r="585" spans="2:6" ht="18" customHeight="1">
      <c r="B585" s="242">
        <f t="shared" si="38"/>
        <v>45507</v>
      </c>
      <c r="C585" s="123">
        <f t="shared" si="39"/>
        <v>2024</v>
      </c>
      <c r="D585" s="123">
        <f t="shared" si="40"/>
        <v>8</v>
      </c>
      <c r="E585" s="123">
        <f t="shared" si="41"/>
        <v>3</v>
      </c>
      <c r="F585" s="270">
        <v>10075</v>
      </c>
    </row>
    <row r="586" spans="2:6" ht="18" customHeight="1">
      <c r="B586" s="242">
        <f t="shared" si="38"/>
        <v>45508</v>
      </c>
      <c r="C586" s="123">
        <f t="shared" si="39"/>
        <v>2024</v>
      </c>
      <c r="D586" s="123">
        <f t="shared" si="40"/>
        <v>8</v>
      </c>
      <c r="E586" s="123">
        <f t="shared" si="41"/>
        <v>4</v>
      </c>
      <c r="F586" s="270">
        <v>1374</v>
      </c>
    </row>
    <row r="587" spans="2:6" ht="18" customHeight="1">
      <c r="B587" s="242">
        <f t="shared" si="38"/>
        <v>45509</v>
      </c>
      <c r="C587" s="123">
        <f t="shared" si="39"/>
        <v>2024</v>
      </c>
      <c r="D587" s="123">
        <f t="shared" si="40"/>
        <v>8</v>
      </c>
      <c r="E587" s="123">
        <f t="shared" si="41"/>
        <v>5</v>
      </c>
      <c r="F587" s="270">
        <v>9208</v>
      </c>
    </row>
    <row r="588" spans="2:6" ht="18" customHeight="1">
      <c r="B588" s="242">
        <f t="shared" si="38"/>
        <v>45510</v>
      </c>
      <c r="C588" s="123">
        <f t="shared" si="39"/>
        <v>2024</v>
      </c>
      <c r="D588" s="123">
        <f t="shared" si="40"/>
        <v>8</v>
      </c>
      <c r="E588" s="123">
        <f t="shared" si="41"/>
        <v>6</v>
      </c>
      <c r="F588" s="270">
        <v>8212</v>
      </c>
    </row>
    <row r="589" spans="2:6" ht="18" customHeight="1">
      <c r="B589" s="242">
        <f t="shared" si="38"/>
        <v>45511</v>
      </c>
      <c r="C589" s="123">
        <f t="shared" si="39"/>
        <v>2024</v>
      </c>
      <c r="D589" s="123">
        <f t="shared" si="40"/>
        <v>8</v>
      </c>
      <c r="E589" s="123">
        <f t="shared" si="41"/>
        <v>7</v>
      </c>
      <c r="F589" s="270">
        <v>3015</v>
      </c>
    </row>
    <row r="590" spans="2:6" ht="18" customHeight="1">
      <c r="B590" s="242">
        <f t="shared" si="38"/>
        <v>45512</v>
      </c>
      <c r="C590" s="123">
        <f t="shared" si="39"/>
        <v>2024</v>
      </c>
      <c r="D590" s="123">
        <f t="shared" si="40"/>
        <v>8</v>
      </c>
      <c r="E590" s="123">
        <f t="shared" si="41"/>
        <v>8</v>
      </c>
      <c r="F590" s="270">
        <v>4712</v>
      </c>
    </row>
    <row r="591" spans="2:6" ht="18" customHeight="1">
      <c r="B591" s="242">
        <f t="shared" si="38"/>
        <v>45513</v>
      </c>
      <c r="C591" s="123">
        <f t="shared" si="39"/>
        <v>2024</v>
      </c>
      <c r="D591" s="123">
        <f t="shared" si="40"/>
        <v>8</v>
      </c>
      <c r="E591" s="123">
        <f t="shared" si="41"/>
        <v>9</v>
      </c>
      <c r="F591" s="270">
        <v>7807</v>
      </c>
    </row>
    <row r="592" spans="2:6" ht="18" customHeight="1">
      <c r="B592" s="242">
        <f t="shared" si="38"/>
        <v>45514</v>
      </c>
      <c r="C592" s="123">
        <f t="shared" si="39"/>
        <v>2024</v>
      </c>
      <c r="D592" s="123">
        <f t="shared" si="40"/>
        <v>8</v>
      </c>
      <c r="E592" s="123">
        <f t="shared" si="41"/>
        <v>10</v>
      </c>
      <c r="F592" s="270">
        <v>3413</v>
      </c>
    </row>
    <row r="593" spans="2:6" ht="18" customHeight="1">
      <c r="B593" s="242">
        <f t="shared" si="38"/>
        <v>45515</v>
      </c>
      <c r="C593" s="123">
        <f t="shared" si="39"/>
        <v>2024</v>
      </c>
      <c r="D593" s="123">
        <f t="shared" si="40"/>
        <v>8</v>
      </c>
      <c r="E593" s="123">
        <f t="shared" si="41"/>
        <v>11</v>
      </c>
      <c r="F593" s="270">
        <v>1544</v>
      </c>
    </row>
    <row r="594" spans="2:6" ht="18" customHeight="1">
      <c r="B594" s="242">
        <f t="shared" si="38"/>
        <v>45516</v>
      </c>
      <c r="C594" s="123">
        <f t="shared" si="39"/>
        <v>2024</v>
      </c>
      <c r="D594" s="123">
        <f t="shared" si="40"/>
        <v>8</v>
      </c>
      <c r="E594" s="123">
        <f t="shared" si="41"/>
        <v>12</v>
      </c>
      <c r="F594" s="270">
        <v>7421</v>
      </c>
    </row>
    <row r="595" spans="2:6" ht="18" customHeight="1">
      <c r="B595" s="242">
        <f t="shared" si="38"/>
        <v>45517</v>
      </c>
      <c r="C595" s="123">
        <f t="shared" si="39"/>
        <v>2024</v>
      </c>
      <c r="D595" s="123">
        <f t="shared" si="40"/>
        <v>8</v>
      </c>
      <c r="E595" s="123">
        <f t="shared" si="41"/>
        <v>13</v>
      </c>
      <c r="F595" s="270">
        <v>6893</v>
      </c>
    </row>
    <row r="596" spans="2:6" ht="18" customHeight="1">
      <c r="B596" s="242">
        <f t="shared" si="38"/>
        <v>45518</v>
      </c>
      <c r="C596" s="123">
        <f t="shared" si="39"/>
        <v>2024</v>
      </c>
      <c r="D596" s="123">
        <f t="shared" si="40"/>
        <v>8</v>
      </c>
      <c r="E596" s="123">
        <f t="shared" si="41"/>
        <v>14</v>
      </c>
      <c r="F596" s="270">
        <v>1794</v>
      </c>
    </row>
    <row r="597" spans="2:6" ht="18" customHeight="1">
      <c r="B597" s="242">
        <f t="shared" si="38"/>
        <v>45519</v>
      </c>
      <c r="C597" s="123">
        <f t="shared" si="39"/>
        <v>2024</v>
      </c>
      <c r="D597" s="123">
        <f t="shared" si="40"/>
        <v>8</v>
      </c>
      <c r="E597" s="123">
        <f t="shared" si="41"/>
        <v>15</v>
      </c>
      <c r="F597" s="270">
        <v>1699</v>
      </c>
    </row>
    <row r="598" spans="2:6" ht="18" customHeight="1">
      <c r="B598" s="242">
        <f t="shared" si="38"/>
        <v>45520</v>
      </c>
      <c r="C598" s="123">
        <f t="shared" si="39"/>
        <v>2024</v>
      </c>
      <c r="D598" s="123">
        <f t="shared" si="40"/>
        <v>8</v>
      </c>
      <c r="E598" s="123">
        <f t="shared" si="41"/>
        <v>16</v>
      </c>
      <c r="F598" s="270">
        <v>6107</v>
      </c>
    </row>
    <row r="599" spans="2:6" ht="18" customHeight="1">
      <c r="B599" s="242">
        <f t="shared" si="38"/>
        <v>45521</v>
      </c>
      <c r="C599" s="123">
        <f t="shared" si="39"/>
        <v>2024</v>
      </c>
      <c r="D599" s="123">
        <f t="shared" si="40"/>
        <v>8</v>
      </c>
      <c r="E599" s="123">
        <f t="shared" si="41"/>
        <v>17</v>
      </c>
      <c r="F599" s="270">
        <v>11006</v>
      </c>
    </row>
    <row r="600" spans="2:6" ht="18" customHeight="1">
      <c r="B600" s="242">
        <f t="shared" si="38"/>
        <v>45522</v>
      </c>
      <c r="C600" s="123">
        <f t="shared" si="39"/>
        <v>2024</v>
      </c>
      <c r="D600" s="123">
        <f t="shared" si="40"/>
        <v>8</v>
      </c>
      <c r="E600" s="123">
        <f t="shared" si="41"/>
        <v>18</v>
      </c>
      <c r="F600" s="270">
        <v>7981</v>
      </c>
    </row>
    <row r="601" spans="2:6" ht="18" customHeight="1">
      <c r="B601" s="242">
        <f t="shared" si="38"/>
        <v>45523</v>
      </c>
      <c r="C601" s="123">
        <f t="shared" si="39"/>
        <v>2024</v>
      </c>
      <c r="D601" s="123">
        <f t="shared" si="40"/>
        <v>8</v>
      </c>
      <c r="E601" s="123">
        <f t="shared" si="41"/>
        <v>19</v>
      </c>
      <c r="F601" s="270">
        <v>9987</v>
      </c>
    </row>
    <row r="602" spans="2:6" ht="18" customHeight="1">
      <c r="B602" s="242">
        <f t="shared" si="38"/>
        <v>45524</v>
      </c>
      <c r="C602" s="123">
        <f t="shared" si="39"/>
        <v>2024</v>
      </c>
      <c r="D602" s="123">
        <f t="shared" si="40"/>
        <v>8</v>
      </c>
      <c r="E602" s="123">
        <f t="shared" si="41"/>
        <v>20</v>
      </c>
      <c r="F602" s="270">
        <v>5295</v>
      </c>
    </row>
    <row r="603" spans="2:6" ht="18" customHeight="1">
      <c r="B603" s="242">
        <f t="shared" si="38"/>
        <v>45525</v>
      </c>
      <c r="C603" s="123">
        <f t="shared" si="39"/>
        <v>2024</v>
      </c>
      <c r="D603" s="123">
        <f t="shared" si="40"/>
        <v>8</v>
      </c>
      <c r="E603" s="123">
        <f t="shared" si="41"/>
        <v>21</v>
      </c>
      <c r="F603" s="270">
        <v>9551</v>
      </c>
    </row>
    <row r="604" spans="2:6" ht="18" customHeight="1">
      <c r="B604" s="242">
        <f t="shared" si="38"/>
        <v>45526</v>
      </c>
      <c r="C604" s="123">
        <f t="shared" si="39"/>
        <v>2024</v>
      </c>
      <c r="D604" s="123">
        <f t="shared" si="40"/>
        <v>8</v>
      </c>
      <c r="E604" s="123">
        <f t="shared" si="41"/>
        <v>22</v>
      </c>
      <c r="F604" s="270">
        <v>5179</v>
      </c>
    </row>
    <row r="605" spans="2:6" ht="18" customHeight="1">
      <c r="B605" s="242">
        <f t="shared" si="38"/>
        <v>45527</v>
      </c>
      <c r="C605" s="123">
        <f t="shared" si="39"/>
        <v>2024</v>
      </c>
      <c r="D605" s="123">
        <f t="shared" si="40"/>
        <v>8</v>
      </c>
      <c r="E605" s="123">
        <f t="shared" si="41"/>
        <v>23</v>
      </c>
      <c r="F605" s="270">
        <v>8003</v>
      </c>
    </row>
    <row r="606" spans="2:6" ht="18" customHeight="1">
      <c r="B606" s="242">
        <f t="shared" si="38"/>
        <v>45528</v>
      </c>
      <c r="C606" s="123">
        <f t="shared" si="39"/>
        <v>2024</v>
      </c>
      <c r="D606" s="123">
        <f t="shared" si="40"/>
        <v>8</v>
      </c>
      <c r="E606" s="123">
        <f t="shared" si="41"/>
        <v>24</v>
      </c>
      <c r="F606" s="270">
        <v>3041</v>
      </c>
    </row>
    <row r="607" spans="2:6" ht="18" customHeight="1">
      <c r="B607" s="242">
        <f t="shared" si="38"/>
        <v>45529</v>
      </c>
      <c r="C607" s="123">
        <f t="shared" si="39"/>
        <v>2024</v>
      </c>
      <c r="D607" s="123">
        <f t="shared" si="40"/>
        <v>8</v>
      </c>
      <c r="E607" s="123">
        <f t="shared" si="41"/>
        <v>25</v>
      </c>
      <c r="F607" s="270">
        <v>3248</v>
      </c>
    </row>
    <row r="608" spans="2:6" ht="18" customHeight="1">
      <c r="B608" s="242">
        <f t="shared" si="38"/>
        <v>45530</v>
      </c>
      <c r="C608" s="123">
        <f t="shared" si="39"/>
        <v>2024</v>
      </c>
      <c r="D608" s="123">
        <f t="shared" si="40"/>
        <v>8</v>
      </c>
      <c r="E608" s="123">
        <f t="shared" si="41"/>
        <v>26</v>
      </c>
      <c r="F608" s="270">
        <v>4815</v>
      </c>
    </row>
    <row r="609" spans="2:6" ht="18" customHeight="1">
      <c r="B609" s="242">
        <f t="shared" si="38"/>
        <v>45531</v>
      </c>
      <c r="C609" s="123">
        <f t="shared" si="39"/>
        <v>2024</v>
      </c>
      <c r="D609" s="123">
        <f t="shared" si="40"/>
        <v>8</v>
      </c>
      <c r="E609" s="123">
        <f t="shared" si="41"/>
        <v>27</v>
      </c>
      <c r="F609" s="270">
        <v>10777</v>
      </c>
    </row>
    <row r="610" spans="2:6" ht="18" customHeight="1">
      <c r="B610" s="242">
        <f t="shared" si="38"/>
        <v>45532</v>
      </c>
      <c r="C610" s="123">
        <f t="shared" si="39"/>
        <v>2024</v>
      </c>
      <c r="D610" s="123">
        <f t="shared" si="40"/>
        <v>8</v>
      </c>
      <c r="E610" s="123">
        <f t="shared" si="41"/>
        <v>28</v>
      </c>
      <c r="F610" s="270">
        <v>1263</v>
      </c>
    </row>
    <row r="611" spans="2:6" ht="18" customHeight="1">
      <c r="B611" s="242">
        <f t="shared" si="38"/>
        <v>45533</v>
      </c>
      <c r="C611" s="123">
        <f t="shared" si="39"/>
        <v>2024</v>
      </c>
      <c r="D611" s="123">
        <f t="shared" si="40"/>
        <v>8</v>
      </c>
      <c r="E611" s="123">
        <f t="shared" si="41"/>
        <v>29</v>
      </c>
      <c r="F611" s="270">
        <v>1381</v>
      </c>
    </row>
    <row r="612" spans="2:6" ht="18" customHeight="1">
      <c r="B612" s="242">
        <f t="shared" si="38"/>
        <v>45534</v>
      </c>
      <c r="C612" s="123">
        <f t="shared" si="39"/>
        <v>2024</v>
      </c>
      <c r="D612" s="123">
        <f t="shared" si="40"/>
        <v>8</v>
      </c>
      <c r="E612" s="123">
        <f t="shared" si="41"/>
        <v>30</v>
      </c>
      <c r="F612" s="270">
        <v>4507</v>
      </c>
    </row>
    <row r="613" spans="2:6" ht="18" customHeight="1">
      <c r="B613" s="242">
        <f t="shared" si="38"/>
        <v>45535</v>
      </c>
      <c r="C613" s="123">
        <f t="shared" si="39"/>
        <v>2024</v>
      </c>
      <c r="D613" s="123">
        <f t="shared" si="40"/>
        <v>8</v>
      </c>
      <c r="E613" s="123">
        <f t="shared" si="41"/>
        <v>31</v>
      </c>
      <c r="F613" s="270">
        <v>5829</v>
      </c>
    </row>
    <row r="614" spans="2:6" ht="18" customHeight="1">
      <c r="B614" s="242">
        <f t="shared" si="38"/>
        <v>45536</v>
      </c>
      <c r="C614" s="123">
        <f t="shared" si="39"/>
        <v>2024</v>
      </c>
      <c r="D614" s="123">
        <f t="shared" si="40"/>
        <v>9</v>
      </c>
      <c r="E614" s="123">
        <f t="shared" si="41"/>
        <v>1</v>
      </c>
      <c r="F614" s="270">
        <v>4196</v>
      </c>
    </row>
    <row r="615" spans="2:6" ht="18" customHeight="1">
      <c r="B615" s="242">
        <f t="shared" si="38"/>
        <v>45537</v>
      </c>
      <c r="C615" s="123">
        <f t="shared" si="39"/>
        <v>2024</v>
      </c>
      <c r="D615" s="123">
        <f t="shared" si="40"/>
        <v>9</v>
      </c>
      <c r="E615" s="123">
        <f t="shared" si="41"/>
        <v>2</v>
      </c>
      <c r="F615" s="270">
        <v>2790</v>
      </c>
    </row>
    <row r="616" spans="2:6" ht="18" customHeight="1">
      <c r="B616" s="242">
        <f t="shared" si="38"/>
        <v>45538</v>
      </c>
      <c r="C616" s="123">
        <f t="shared" si="39"/>
        <v>2024</v>
      </c>
      <c r="D616" s="123">
        <f t="shared" si="40"/>
        <v>9</v>
      </c>
      <c r="E616" s="123">
        <f t="shared" si="41"/>
        <v>3</v>
      </c>
      <c r="F616" s="270">
        <v>6894</v>
      </c>
    </row>
    <row r="617" spans="2:6" ht="18" customHeight="1">
      <c r="B617" s="242">
        <f t="shared" si="38"/>
        <v>45539</v>
      </c>
      <c r="C617" s="123">
        <f t="shared" si="39"/>
        <v>2024</v>
      </c>
      <c r="D617" s="123">
        <f t="shared" si="40"/>
        <v>9</v>
      </c>
      <c r="E617" s="123">
        <f t="shared" si="41"/>
        <v>4</v>
      </c>
      <c r="F617" s="270">
        <v>4968</v>
      </c>
    </row>
    <row r="618" spans="2:6" ht="18" customHeight="1">
      <c r="B618" s="242">
        <f t="shared" si="38"/>
        <v>45540</v>
      </c>
      <c r="C618" s="123">
        <f t="shared" si="39"/>
        <v>2024</v>
      </c>
      <c r="D618" s="123">
        <f t="shared" si="40"/>
        <v>9</v>
      </c>
      <c r="E618" s="123">
        <f t="shared" si="41"/>
        <v>5</v>
      </c>
      <c r="F618" s="270">
        <v>2776</v>
      </c>
    </row>
    <row r="619" spans="2:6" ht="18" customHeight="1">
      <c r="B619" s="242">
        <f t="shared" si="38"/>
        <v>45541</v>
      </c>
      <c r="C619" s="123">
        <f t="shared" si="39"/>
        <v>2024</v>
      </c>
      <c r="D619" s="123">
        <f t="shared" si="40"/>
        <v>9</v>
      </c>
      <c r="E619" s="123">
        <f t="shared" si="41"/>
        <v>6</v>
      </c>
      <c r="F619" s="270">
        <v>3780</v>
      </c>
    </row>
    <row r="620" spans="2:6" ht="18" customHeight="1">
      <c r="B620" s="242">
        <f t="shared" si="38"/>
        <v>45542</v>
      </c>
      <c r="C620" s="123">
        <f t="shared" si="39"/>
        <v>2024</v>
      </c>
      <c r="D620" s="123">
        <f t="shared" si="40"/>
        <v>9</v>
      </c>
      <c r="E620" s="123">
        <f t="shared" si="41"/>
        <v>7</v>
      </c>
      <c r="F620" s="270">
        <v>10966</v>
      </c>
    </row>
    <row r="621" spans="2:6" ht="18" customHeight="1">
      <c r="B621" s="242">
        <f t="shared" si="38"/>
        <v>45543</v>
      </c>
      <c r="C621" s="123">
        <f t="shared" si="39"/>
        <v>2024</v>
      </c>
      <c r="D621" s="123">
        <f t="shared" si="40"/>
        <v>9</v>
      </c>
      <c r="E621" s="123">
        <f t="shared" si="41"/>
        <v>8</v>
      </c>
      <c r="F621" s="270">
        <v>3434</v>
      </c>
    </row>
    <row r="622" spans="2:6" ht="18" customHeight="1">
      <c r="B622" s="242">
        <f t="shared" si="38"/>
        <v>45544</v>
      </c>
      <c r="C622" s="123">
        <f t="shared" si="39"/>
        <v>2024</v>
      </c>
      <c r="D622" s="123">
        <f t="shared" si="40"/>
        <v>9</v>
      </c>
      <c r="E622" s="123">
        <f t="shared" si="41"/>
        <v>9</v>
      </c>
      <c r="F622" s="270">
        <v>2161</v>
      </c>
    </row>
    <row r="623" spans="2:6" ht="18" customHeight="1">
      <c r="B623" s="242">
        <f t="shared" si="38"/>
        <v>45545</v>
      </c>
      <c r="C623" s="123">
        <f t="shared" si="39"/>
        <v>2024</v>
      </c>
      <c r="D623" s="123">
        <f t="shared" si="40"/>
        <v>9</v>
      </c>
      <c r="E623" s="123">
        <f t="shared" si="41"/>
        <v>10</v>
      </c>
      <c r="F623" s="270">
        <v>8530</v>
      </c>
    </row>
    <row r="624" spans="2:6" ht="18" customHeight="1">
      <c r="B624" s="242">
        <f t="shared" si="38"/>
        <v>45546</v>
      </c>
      <c r="C624" s="123">
        <f t="shared" si="39"/>
        <v>2024</v>
      </c>
      <c r="D624" s="123">
        <f t="shared" si="40"/>
        <v>9</v>
      </c>
      <c r="E624" s="123">
        <f t="shared" si="41"/>
        <v>11</v>
      </c>
      <c r="F624" s="270">
        <v>2489</v>
      </c>
    </row>
    <row r="625" spans="2:6" ht="18" customHeight="1">
      <c r="B625" s="242">
        <f t="shared" si="38"/>
        <v>45547</v>
      </c>
      <c r="C625" s="123">
        <f t="shared" si="39"/>
        <v>2024</v>
      </c>
      <c r="D625" s="123">
        <f t="shared" si="40"/>
        <v>9</v>
      </c>
      <c r="E625" s="123">
        <f t="shared" si="41"/>
        <v>12</v>
      </c>
      <c r="F625" s="270">
        <v>10981</v>
      </c>
    </row>
    <row r="626" spans="2:6" ht="18" customHeight="1">
      <c r="B626" s="242">
        <f t="shared" si="38"/>
        <v>45548</v>
      </c>
      <c r="C626" s="123">
        <f t="shared" si="39"/>
        <v>2024</v>
      </c>
      <c r="D626" s="123">
        <f t="shared" si="40"/>
        <v>9</v>
      </c>
      <c r="E626" s="123">
        <f t="shared" si="41"/>
        <v>13</v>
      </c>
      <c r="F626" s="270">
        <v>2409</v>
      </c>
    </row>
    <row r="627" spans="2:6" ht="18" customHeight="1">
      <c r="B627" s="242">
        <f t="shared" si="38"/>
        <v>45549</v>
      </c>
      <c r="C627" s="123">
        <f t="shared" si="39"/>
        <v>2024</v>
      </c>
      <c r="D627" s="123">
        <f t="shared" si="40"/>
        <v>9</v>
      </c>
      <c r="E627" s="123">
        <f t="shared" si="41"/>
        <v>14</v>
      </c>
      <c r="F627" s="270">
        <v>5000</v>
      </c>
    </row>
    <row r="628" spans="2:6" ht="18" customHeight="1">
      <c r="B628" s="242">
        <f t="shared" ref="B628:B691" si="42">+B627+1</f>
        <v>45550</v>
      </c>
      <c r="C628" s="123">
        <f t="shared" si="39"/>
        <v>2024</v>
      </c>
      <c r="D628" s="123">
        <f t="shared" si="40"/>
        <v>9</v>
      </c>
      <c r="E628" s="123">
        <f t="shared" si="41"/>
        <v>15</v>
      </c>
      <c r="F628" s="270">
        <v>5586</v>
      </c>
    </row>
    <row r="629" spans="2:6" ht="18" customHeight="1">
      <c r="B629" s="242">
        <f t="shared" si="42"/>
        <v>45551</v>
      </c>
      <c r="C629" s="123">
        <f t="shared" si="39"/>
        <v>2024</v>
      </c>
      <c r="D629" s="123">
        <f t="shared" si="40"/>
        <v>9</v>
      </c>
      <c r="E629" s="123">
        <f t="shared" si="41"/>
        <v>16</v>
      </c>
      <c r="F629" s="270">
        <v>6330</v>
      </c>
    </row>
    <row r="630" spans="2:6" ht="18" customHeight="1">
      <c r="B630" s="242">
        <f t="shared" si="42"/>
        <v>45552</v>
      </c>
      <c r="C630" s="123">
        <f t="shared" si="39"/>
        <v>2024</v>
      </c>
      <c r="D630" s="123">
        <f t="shared" si="40"/>
        <v>9</v>
      </c>
      <c r="E630" s="123">
        <f t="shared" si="41"/>
        <v>17</v>
      </c>
      <c r="F630" s="270">
        <v>9989</v>
      </c>
    </row>
    <row r="631" spans="2:6" ht="18" customHeight="1">
      <c r="B631" s="242">
        <f t="shared" si="42"/>
        <v>45553</v>
      </c>
      <c r="C631" s="123">
        <f t="shared" si="39"/>
        <v>2024</v>
      </c>
      <c r="D631" s="123">
        <f t="shared" si="40"/>
        <v>9</v>
      </c>
      <c r="E631" s="123">
        <f t="shared" si="41"/>
        <v>18</v>
      </c>
      <c r="F631" s="270">
        <v>3108</v>
      </c>
    </row>
    <row r="632" spans="2:6" ht="18" customHeight="1">
      <c r="B632" s="242">
        <f t="shared" si="42"/>
        <v>45554</v>
      </c>
      <c r="C632" s="123">
        <f t="shared" si="39"/>
        <v>2024</v>
      </c>
      <c r="D632" s="123">
        <f t="shared" si="40"/>
        <v>9</v>
      </c>
      <c r="E632" s="123">
        <f t="shared" si="41"/>
        <v>19</v>
      </c>
      <c r="F632" s="270">
        <v>8369</v>
      </c>
    </row>
    <row r="633" spans="2:6" ht="18" customHeight="1">
      <c r="B633" s="242">
        <f t="shared" si="42"/>
        <v>45555</v>
      </c>
      <c r="C633" s="123">
        <f t="shared" si="39"/>
        <v>2024</v>
      </c>
      <c r="D633" s="123">
        <f t="shared" si="40"/>
        <v>9</v>
      </c>
      <c r="E633" s="123">
        <f t="shared" si="41"/>
        <v>20</v>
      </c>
      <c r="F633" s="270">
        <v>5299</v>
      </c>
    </row>
    <row r="634" spans="2:6" ht="18" customHeight="1">
      <c r="B634" s="242">
        <f t="shared" si="42"/>
        <v>45556</v>
      </c>
      <c r="C634" s="123">
        <f t="shared" si="39"/>
        <v>2024</v>
      </c>
      <c r="D634" s="123">
        <f t="shared" si="40"/>
        <v>9</v>
      </c>
      <c r="E634" s="123">
        <f t="shared" si="41"/>
        <v>21</v>
      </c>
      <c r="F634" s="270">
        <v>10880</v>
      </c>
    </row>
    <row r="635" spans="2:6" ht="18" customHeight="1">
      <c r="B635" s="242">
        <f t="shared" si="42"/>
        <v>45557</v>
      </c>
      <c r="C635" s="123">
        <f t="shared" si="39"/>
        <v>2024</v>
      </c>
      <c r="D635" s="123">
        <f t="shared" si="40"/>
        <v>9</v>
      </c>
      <c r="E635" s="123">
        <f t="shared" si="41"/>
        <v>22</v>
      </c>
      <c r="F635" s="270">
        <v>5344</v>
      </c>
    </row>
    <row r="636" spans="2:6" ht="18" customHeight="1">
      <c r="B636" s="242">
        <f t="shared" si="42"/>
        <v>45558</v>
      </c>
      <c r="C636" s="123">
        <f t="shared" si="39"/>
        <v>2024</v>
      </c>
      <c r="D636" s="123">
        <f t="shared" si="40"/>
        <v>9</v>
      </c>
      <c r="E636" s="123">
        <f t="shared" si="41"/>
        <v>23</v>
      </c>
      <c r="F636" s="270">
        <v>7499</v>
      </c>
    </row>
    <row r="637" spans="2:6" ht="18" customHeight="1">
      <c r="B637" s="242">
        <f t="shared" si="42"/>
        <v>45559</v>
      </c>
      <c r="C637" s="123">
        <f t="shared" si="39"/>
        <v>2024</v>
      </c>
      <c r="D637" s="123">
        <f t="shared" si="40"/>
        <v>9</v>
      </c>
      <c r="E637" s="123">
        <f t="shared" si="41"/>
        <v>24</v>
      </c>
      <c r="F637" s="270">
        <v>5710</v>
      </c>
    </row>
    <row r="638" spans="2:6" ht="18" customHeight="1">
      <c r="B638" s="242">
        <f t="shared" si="42"/>
        <v>45560</v>
      </c>
      <c r="C638" s="123">
        <f t="shared" si="39"/>
        <v>2024</v>
      </c>
      <c r="D638" s="123">
        <f t="shared" si="40"/>
        <v>9</v>
      </c>
      <c r="E638" s="123">
        <f t="shared" si="41"/>
        <v>25</v>
      </c>
      <c r="F638" s="270">
        <v>1205</v>
      </c>
    </row>
    <row r="639" spans="2:6" ht="18" customHeight="1">
      <c r="B639" s="242">
        <f t="shared" si="42"/>
        <v>45561</v>
      </c>
      <c r="C639" s="123">
        <f t="shared" si="39"/>
        <v>2024</v>
      </c>
      <c r="D639" s="123">
        <f t="shared" si="40"/>
        <v>9</v>
      </c>
      <c r="E639" s="123">
        <f t="shared" si="41"/>
        <v>26</v>
      </c>
      <c r="F639" s="270">
        <v>3430</v>
      </c>
    </row>
    <row r="640" spans="2:6" ht="18" customHeight="1">
      <c r="B640" s="242">
        <f t="shared" si="42"/>
        <v>45562</v>
      </c>
      <c r="C640" s="123">
        <f t="shared" si="39"/>
        <v>2024</v>
      </c>
      <c r="D640" s="123">
        <f t="shared" si="40"/>
        <v>9</v>
      </c>
      <c r="E640" s="123">
        <f t="shared" si="41"/>
        <v>27</v>
      </c>
      <c r="F640" s="270">
        <v>6748</v>
      </c>
    </row>
    <row r="641" spans="2:6" ht="18" customHeight="1">
      <c r="B641" s="242">
        <f t="shared" si="42"/>
        <v>45563</v>
      </c>
      <c r="C641" s="123">
        <f t="shared" si="39"/>
        <v>2024</v>
      </c>
      <c r="D641" s="123">
        <f t="shared" si="40"/>
        <v>9</v>
      </c>
      <c r="E641" s="123">
        <f t="shared" si="41"/>
        <v>28</v>
      </c>
      <c r="F641" s="270">
        <v>1956</v>
      </c>
    </row>
    <row r="642" spans="2:6" ht="18" customHeight="1">
      <c r="B642" s="242">
        <f t="shared" si="42"/>
        <v>45564</v>
      </c>
      <c r="C642" s="123">
        <f t="shared" si="39"/>
        <v>2024</v>
      </c>
      <c r="D642" s="123">
        <f t="shared" si="40"/>
        <v>9</v>
      </c>
      <c r="E642" s="123">
        <f t="shared" si="41"/>
        <v>29</v>
      </c>
      <c r="F642" s="270">
        <v>9929</v>
      </c>
    </row>
    <row r="643" spans="2:6" ht="18" customHeight="1">
      <c r="B643" s="242">
        <f t="shared" si="42"/>
        <v>45565</v>
      </c>
      <c r="C643" s="123">
        <f t="shared" si="39"/>
        <v>2024</v>
      </c>
      <c r="D643" s="123">
        <f t="shared" si="40"/>
        <v>9</v>
      </c>
      <c r="E643" s="123">
        <f t="shared" si="41"/>
        <v>30</v>
      </c>
      <c r="F643" s="270">
        <v>7774</v>
      </c>
    </row>
    <row r="644" spans="2:6" ht="18" customHeight="1">
      <c r="B644" s="242">
        <f t="shared" si="42"/>
        <v>45566</v>
      </c>
      <c r="C644" s="123">
        <f t="shared" si="39"/>
        <v>2024</v>
      </c>
      <c r="D644" s="123">
        <f t="shared" si="40"/>
        <v>10</v>
      </c>
      <c r="E644" s="123">
        <f t="shared" si="41"/>
        <v>1</v>
      </c>
      <c r="F644" s="270">
        <v>4498</v>
      </c>
    </row>
    <row r="645" spans="2:6" ht="18" customHeight="1">
      <c r="B645" s="242">
        <f t="shared" si="42"/>
        <v>45567</v>
      </c>
      <c r="C645" s="123">
        <f t="shared" si="39"/>
        <v>2024</v>
      </c>
      <c r="D645" s="123">
        <f t="shared" si="40"/>
        <v>10</v>
      </c>
      <c r="E645" s="123">
        <f t="shared" si="41"/>
        <v>2</v>
      </c>
      <c r="F645" s="270">
        <v>7547</v>
      </c>
    </row>
    <row r="646" spans="2:6" ht="18" customHeight="1">
      <c r="B646" s="242">
        <f t="shared" si="42"/>
        <v>45568</v>
      </c>
      <c r="C646" s="123">
        <f t="shared" ref="C646:C709" si="43">YEAR(B646)</f>
        <v>2024</v>
      </c>
      <c r="D646" s="123">
        <f t="shared" ref="D646:D709" si="44">MONTH(B646)</f>
        <v>10</v>
      </c>
      <c r="E646" s="123">
        <f t="shared" ref="E646:E709" si="45">DAY(B646)</f>
        <v>3</v>
      </c>
      <c r="F646" s="270">
        <v>1581</v>
      </c>
    </row>
    <row r="647" spans="2:6" ht="18" customHeight="1">
      <c r="B647" s="242">
        <f t="shared" si="42"/>
        <v>45569</v>
      </c>
      <c r="C647" s="123">
        <f t="shared" si="43"/>
        <v>2024</v>
      </c>
      <c r="D647" s="123">
        <f t="shared" si="44"/>
        <v>10</v>
      </c>
      <c r="E647" s="123">
        <f t="shared" si="45"/>
        <v>4</v>
      </c>
      <c r="F647" s="270">
        <v>4454</v>
      </c>
    </row>
    <row r="648" spans="2:6" ht="18" customHeight="1">
      <c r="B648" s="242">
        <f t="shared" si="42"/>
        <v>45570</v>
      </c>
      <c r="C648" s="123">
        <f t="shared" si="43"/>
        <v>2024</v>
      </c>
      <c r="D648" s="123">
        <f t="shared" si="44"/>
        <v>10</v>
      </c>
      <c r="E648" s="123">
        <f t="shared" si="45"/>
        <v>5</v>
      </c>
      <c r="F648" s="270">
        <v>10826</v>
      </c>
    </row>
    <row r="649" spans="2:6" ht="18" customHeight="1">
      <c r="B649" s="242">
        <f t="shared" si="42"/>
        <v>45571</v>
      </c>
      <c r="C649" s="123">
        <f t="shared" si="43"/>
        <v>2024</v>
      </c>
      <c r="D649" s="123">
        <f t="shared" si="44"/>
        <v>10</v>
      </c>
      <c r="E649" s="123">
        <f t="shared" si="45"/>
        <v>6</v>
      </c>
      <c r="F649" s="270">
        <v>2055</v>
      </c>
    </row>
    <row r="650" spans="2:6" ht="18" customHeight="1">
      <c r="B650" s="242">
        <f t="shared" si="42"/>
        <v>45572</v>
      </c>
      <c r="C650" s="123">
        <f t="shared" si="43"/>
        <v>2024</v>
      </c>
      <c r="D650" s="123">
        <f t="shared" si="44"/>
        <v>10</v>
      </c>
      <c r="E650" s="123">
        <f t="shared" si="45"/>
        <v>7</v>
      </c>
      <c r="F650" s="270">
        <v>6747</v>
      </c>
    </row>
    <row r="651" spans="2:6" ht="18" customHeight="1">
      <c r="B651" s="242">
        <f t="shared" si="42"/>
        <v>45573</v>
      </c>
      <c r="C651" s="123">
        <f t="shared" si="43"/>
        <v>2024</v>
      </c>
      <c r="D651" s="123">
        <f t="shared" si="44"/>
        <v>10</v>
      </c>
      <c r="E651" s="123">
        <f t="shared" si="45"/>
        <v>8</v>
      </c>
      <c r="F651" s="270">
        <v>3243</v>
      </c>
    </row>
    <row r="652" spans="2:6" ht="18" customHeight="1">
      <c r="B652" s="242">
        <f t="shared" si="42"/>
        <v>45574</v>
      </c>
      <c r="C652" s="123">
        <f t="shared" si="43"/>
        <v>2024</v>
      </c>
      <c r="D652" s="123">
        <f t="shared" si="44"/>
        <v>10</v>
      </c>
      <c r="E652" s="123">
        <f t="shared" si="45"/>
        <v>9</v>
      </c>
      <c r="F652" s="270">
        <v>3400</v>
      </c>
    </row>
    <row r="653" spans="2:6" ht="18" customHeight="1">
      <c r="B653" s="242">
        <f t="shared" si="42"/>
        <v>45575</v>
      </c>
      <c r="C653" s="123">
        <f t="shared" si="43"/>
        <v>2024</v>
      </c>
      <c r="D653" s="123">
        <f t="shared" si="44"/>
        <v>10</v>
      </c>
      <c r="E653" s="123">
        <f t="shared" si="45"/>
        <v>10</v>
      </c>
      <c r="F653" s="270">
        <v>2158</v>
      </c>
    </row>
    <row r="654" spans="2:6" ht="18" customHeight="1">
      <c r="B654" s="242">
        <f t="shared" si="42"/>
        <v>45576</v>
      </c>
      <c r="C654" s="123">
        <f t="shared" si="43"/>
        <v>2024</v>
      </c>
      <c r="D654" s="123">
        <f t="shared" si="44"/>
        <v>10</v>
      </c>
      <c r="E654" s="123">
        <f t="shared" si="45"/>
        <v>11</v>
      </c>
      <c r="F654" s="270">
        <v>3228</v>
      </c>
    </row>
    <row r="655" spans="2:6" ht="18" customHeight="1">
      <c r="B655" s="242">
        <f t="shared" si="42"/>
        <v>45577</v>
      </c>
      <c r="C655" s="123">
        <f t="shared" si="43"/>
        <v>2024</v>
      </c>
      <c r="D655" s="123">
        <f t="shared" si="44"/>
        <v>10</v>
      </c>
      <c r="E655" s="123">
        <f t="shared" si="45"/>
        <v>12</v>
      </c>
      <c r="F655" s="270">
        <v>6381</v>
      </c>
    </row>
    <row r="656" spans="2:6" ht="18" customHeight="1">
      <c r="B656" s="242">
        <f t="shared" si="42"/>
        <v>45578</v>
      </c>
      <c r="C656" s="123">
        <f t="shared" si="43"/>
        <v>2024</v>
      </c>
      <c r="D656" s="123">
        <f t="shared" si="44"/>
        <v>10</v>
      </c>
      <c r="E656" s="123">
        <f t="shared" si="45"/>
        <v>13</v>
      </c>
      <c r="F656" s="270">
        <v>5225</v>
      </c>
    </row>
    <row r="657" spans="2:6" ht="18" customHeight="1">
      <c r="B657" s="242">
        <f t="shared" si="42"/>
        <v>45579</v>
      </c>
      <c r="C657" s="123">
        <f t="shared" si="43"/>
        <v>2024</v>
      </c>
      <c r="D657" s="123">
        <f t="shared" si="44"/>
        <v>10</v>
      </c>
      <c r="E657" s="123">
        <f t="shared" si="45"/>
        <v>14</v>
      </c>
      <c r="F657" s="270">
        <v>5666</v>
      </c>
    </row>
    <row r="658" spans="2:6" ht="18" customHeight="1">
      <c r="B658" s="242">
        <f t="shared" si="42"/>
        <v>45580</v>
      </c>
      <c r="C658" s="123">
        <f t="shared" si="43"/>
        <v>2024</v>
      </c>
      <c r="D658" s="123">
        <f t="shared" si="44"/>
        <v>10</v>
      </c>
      <c r="E658" s="123">
        <f t="shared" si="45"/>
        <v>15</v>
      </c>
      <c r="F658" s="270">
        <v>2642</v>
      </c>
    </row>
    <row r="659" spans="2:6" ht="18" customHeight="1">
      <c r="B659" s="242">
        <f t="shared" si="42"/>
        <v>45581</v>
      </c>
      <c r="C659" s="123">
        <f t="shared" si="43"/>
        <v>2024</v>
      </c>
      <c r="D659" s="123">
        <f t="shared" si="44"/>
        <v>10</v>
      </c>
      <c r="E659" s="123">
        <f t="shared" si="45"/>
        <v>16</v>
      </c>
      <c r="F659" s="270">
        <v>7495</v>
      </c>
    </row>
    <row r="660" spans="2:6" ht="18" customHeight="1">
      <c r="B660" s="242">
        <f t="shared" si="42"/>
        <v>45582</v>
      </c>
      <c r="C660" s="123">
        <f t="shared" si="43"/>
        <v>2024</v>
      </c>
      <c r="D660" s="123">
        <f t="shared" si="44"/>
        <v>10</v>
      </c>
      <c r="E660" s="123">
        <f t="shared" si="45"/>
        <v>17</v>
      </c>
      <c r="F660" s="270">
        <v>10167</v>
      </c>
    </row>
    <row r="661" spans="2:6" ht="18" customHeight="1">
      <c r="B661" s="242">
        <f t="shared" si="42"/>
        <v>45583</v>
      </c>
      <c r="C661" s="123">
        <f t="shared" si="43"/>
        <v>2024</v>
      </c>
      <c r="D661" s="123">
        <f t="shared" si="44"/>
        <v>10</v>
      </c>
      <c r="E661" s="123">
        <f t="shared" si="45"/>
        <v>18</v>
      </c>
      <c r="F661" s="270">
        <v>2362</v>
      </c>
    </row>
    <row r="662" spans="2:6" ht="18" customHeight="1">
      <c r="B662" s="242">
        <f t="shared" si="42"/>
        <v>45584</v>
      </c>
      <c r="C662" s="123">
        <f t="shared" si="43"/>
        <v>2024</v>
      </c>
      <c r="D662" s="123">
        <f t="shared" si="44"/>
        <v>10</v>
      </c>
      <c r="E662" s="123">
        <f t="shared" si="45"/>
        <v>19</v>
      </c>
      <c r="F662" s="270">
        <v>4947</v>
      </c>
    </row>
    <row r="663" spans="2:6" ht="18" customHeight="1">
      <c r="B663" s="242">
        <f t="shared" si="42"/>
        <v>45585</v>
      </c>
      <c r="C663" s="123">
        <f t="shared" si="43"/>
        <v>2024</v>
      </c>
      <c r="D663" s="123">
        <f t="shared" si="44"/>
        <v>10</v>
      </c>
      <c r="E663" s="123">
        <f t="shared" si="45"/>
        <v>20</v>
      </c>
      <c r="F663" s="270">
        <v>5790</v>
      </c>
    </row>
    <row r="664" spans="2:6" ht="18" customHeight="1">
      <c r="B664" s="242">
        <f t="shared" si="42"/>
        <v>45586</v>
      </c>
      <c r="C664" s="123">
        <f t="shared" si="43"/>
        <v>2024</v>
      </c>
      <c r="D664" s="123">
        <f t="shared" si="44"/>
        <v>10</v>
      </c>
      <c r="E664" s="123">
        <f t="shared" si="45"/>
        <v>21</v>
      </c>
      <c r="F664" s="270">
        <v>6065</v>
      </c>
    </row>
    <row r="665" spans="2:6" ht="18" customHeight="1">
      <c r="B665" s="242">
        <f t="shared" si="42"/>
        <v>45587</v>
      </c>
      <c r="C665" s="123">
        <f t="shared" si="43"/>
        <v>2024</v>
      </c>
      <c r="D665" s="123">
        <f t="shared" si="44"/>
        <v>10</v>
      </c>
      <c r="E665" s="123">
        <f t="shared" si="45"/>
        <v>22</v>
      </c>
      <c r="F665" s="270">
        <v>2670</v>
      </c>
    </row>
    <row r="666" spans="2:6" ht="18" customHeight="1">
      <c r="B666" s="242">
        <f t="shared" si="42"/>
        <v>45588</v>
      </c>
      <c r="C666" s="123">
        <f t="shared" si="43"/>
        <v>2024</v>
      </c>
      <c r="D666" s="123">
        <f t="shared" si="44"/>
        <v>10</v>
      </c>
      <c r="E666" s="123">
        <f t="shared" si="45"/>
        <v>23</v>
      </c>
      <c r="F666" s="270">
        <v>3435</v>
      </c>
    </row>
    <row r="667" spans="2:6" ht="18" customHeight="1">
      <c r="B667" s="242">
        <f t="shared" si="42"/>
        <v>45589</v>
      </c>
      <c r="C667" s="123">
        <f t="shared" si="43"/>
        <v>2024</v>
      </c>
      <c r="D667" s="123">
        <f t="shared" si="44"/>
        <v>10</v>
      </c>
      <c r="E667" s="123">
        <f t="shared" si="45"/>
        <v>24</v>
      </c>
      <c r="F667" s="270">
        <v>5119</v>
      </c>
    </row>
    <row r="668" spans="2:6" ht="18" customHeight="1">
      <c r="B668" s="242">
        <f t="shared" si="42"/>
        <v>45590</v>
      </c>
      <c r="C668" s="123">
        <f t="shared" si="43"/>
        <v>2024</v>
      </c>
      <c r="D668" s="123">
        <f t="shared" si="44"/>
        <v>10</v>
      </c>
      <c r="E668" s="123">
        <f t="shared" si="45"/>
        <v>25</v>
      </c>
      <c r="F668" s="270">
        <v>8182</v>
      </c>
    </row>
    <row r="669" spans="2:6" ht="18" customHeight="1">
      <c r="B669" s="242">
        <f t="shared" si="42"/>
        <v>45591</v>
      </c>
      <c r="C669" s="123">
        <f t="shared" si="43"/>
        <v>2024</v>
      </c>
      <c r="D669" s="123">
        <f t="shared" si="44"/>
        <v>10</v>
      </c>
      <c r="E669" s="123">
        <f t="shared" si="45"/>
        <v>26</v>
      </c>
      <c r="F669" s="270">
        <v>4500</v>
      </c>
    </row>
    <row r="670" spans="2:6" ht="18" customHeight="1">
      <c r="B670" s="242">
        <f t="shared" si="42"/>
        <v>45592</v>
      </c>
      <c r="C670" s="123">
        <f t="shared" si="43"/>
        <v>2024</v>
      </c>
      <c r="D670" s="123">
        <f t="shared" si="44"/>
        <v>10</v>
      </c>
      <c r="E670" s="123">
        <f t="shared" si="45"/>
        <v>27</v>
      </c>
      <c r="F670" s="270">
        <v>2864</v>
      </c>
    </row>
    <row r="671" spans="2:6" ht="18" customHeight="1">
      <c r="B671" s="242">
        <f t="shared" si="42"/>
        <v>45593</v>
      </c>
      <c r="C671" s="123">
        <f t="shared" si="43"/>
        <v>2024</v>
      </c>
      <c r="D671" s="123">
        <f t="shared" si="44"/>
        <v>10</v>
      </c>
      <c r="E671" s="123">
        <f t="shared" si="45"/>
        <v>28</v>
      </c>
      <c r="F671" s="270">
        <v>6820</v>
      </c>
    </row>
    <row r="672" spans="2:6" ht="18" customHeight="1">
      <c r="B672" s="242">
        <f t="shared" si="42"/>
        <v>45594</v>
      </c>
      <c r="C672" s="123">
        <f t="shared" si="43"/>
        <v>2024</v>
      </c>
      <c r="D672" s="123">
        <f t="shared" si="44"/>
        <v>10</v>
      </c>
      <c r="E672" s="123">
        <f t="shared" si="45"/>
        <v>29</v>
      </c>
      <c r="F672" s="270">
        <v>10352</v>
      </c>
    </row>
    <row r="673" spans="2:6" ht="18" customHeight="1">
      <c r="B673" s="242">
        <f t="shared" si="42"/>
        <v>45595</v>
      </c>
      <c r="C673" s="123">
        <f t="shared" si="43"/>
        <v>2024</v>
      </c>
      <c r="D673" s="123">
        <f t="shared" si="44"/>
        <v>10</v>
      </c>
      <c r="E673" s="123">
        <f t="shared" si="45"/>
        <v>30</v>
      </c>
      <c r="F673" s="270">
        <v>5142</v>
      </c>
    </row>
    <row r="674" spans="2:6" ht="18" customHeight="1">
      <c r="B674" s="242">
        <f t="shared" si="42"/>
        <v>45596</v>
      </c>
      <c r="C674" s="123">
        <f t="shared" si="43"/>
        <v>2024</v>
      </c>
      <c r="D674" s="123">
        <f t="shared" si="44"/>
        <v>10</v>
      </c>
      <c r="E674" s="123">
        <f t="shared" si="45"/>
        <v>31</v>
      </c>
      <c r="F674" s="270">
        <v>5172</v>
      </c>
    </row>
    <row r="675" spans="2:6" ht="18" customHeight="1">
      <c r="B675" s="242">
        <f t="shared" si="42"/>
        <v>45597</v>
      </c>
      <c r="C675" s="123">
        <f t="shared" si="43"/>
        <v>2024</v>
      </c>
      <c r="D675" s="123">
        <f t="shared" si="44"/>
        <v>11</v>
      </c>
      <c r="E675" s="123">
        <f t="shared" si="45"/>
        <v>1</v>
      </c>
      <c r="F675" s="270">
        <v>10826</v>
      </c>
    </row>
    <row r="676" spans="2:6" ht="18" customHeight="1">
      <c r="B676" s="242">
        <f t="shared" si="42"/>
        <v>45598</v>
      </c>
      <c r="C676" s="123">
        <f t="shared" si="43"/>
        <v>2024</v>
      </c>
      <c r="D676" s="123">
        <f t="shared" si="44"/>
        <v>11</v>
      </c>
      <c r="E676" s="123">
        <f t="shared" si="45"/>
        <v>2</v>
      </c>
      <c r="F676" s="270">
        <v>6063</v>
      </c>
    </row>
    <row r="677" spans="2:6" ht="18" customHeight="1">
      <c r="B677" s="242">
        <f t="shared" si="42"/>
        <v>45599</v>
      </c>
      <c r="C677" s="123">
        <f t="shared" si="43"/>
        <v>2024</v>
      </c>
      <c r="D677" s="123">
        <f t="shared" si="44"/>
        <v>11</v>
      </c>
      <c r="E677" s="123">
        <f t="shared" si="45"/>
        <v>3</v>
      </c>
      <c r="F677" s="270">
        <v>9463</v>
      </c>
    </row>
    <row r="678" spans="2:6" ht="18" customHeight="1">
      <c r="B678" s="242">
        <f t="shared" si="42"/>
        <v>45600</v>
      </c>
      <c r="C678" s="123">
        <f t="shared" si="43"/>
        <v>2024</v>
      </c>
      <c r="D678" s="123">
        <f t="shared" si="44"/>
        <v>11</v>
      </c>
      <c r="E678" s="123">
        <f t="shared" si="45"/>
        <v>4</v>
      </c>
      <c r="F678" s="270">
        <v>3050</v>
      </c>
    </row>
    <row r="679" spans="2:6" ht="18" customHeight="1">
      <c r="B679" s="242">
        <f t="shared" si="42"/>
        <v>45601</v>
      </c>
      <c r="C679" s="123">
        <f t="shared" si="43"/>
        <v>2024</v>
      </c>
      <c r="D679" s="123">
        <f t="shared" si="44"/>
        <v>11</v>
      </c>
      <c r="E679" s="123">
        <f t="shared" si="45"/>
        <v>5</v>
      </c>
      <c r="F679" s="270">
        <v>9388</v>
      </c>
    </row>
    <row r="680" spans="2:6" ht="18" customHeight="1">
      <c r="B680" s="242">
        <f t="shared" si="42"/>
        <v>45602</v>
      </c>
      <c r="C680" s="123">
        <f t="shared" si="43"/>
        <v>2024</v>
      </c>
      <c r="D680" s="123">
        <f t="shared" si="44"/>
        <v>11</v>
      </c>
      <c r="E680" s="123">
        <f t="shared" si="45"/>
        <v>6</v>
      </c>
      <c r="F680" s="270">
        <v>9482</v>
      </c>
    </row>
    <row r="681" spans="2:6" ht="18" customHeight="1">
      <c r="B681" s="242">
        <f t="shared" si="42"/>
        <v>45603</v>
      </c>
      <c r="C681" s="123">
        <f t="shared" si="43"/>
        <v>2024</v>
      </c>
      <c r="D681" s="123">
        <f t="shared" si="44"/>
        <v>11</v>
      </c>
      <c r="E681" s="123">
        <f t="shared" si="45"/>
        <v>7</v>
      </c>
      <c r="F681" s="270">
        <v>10045</v>
      </c>
    </row>
    <row r="682" spans="2:6" ht="18" customHeight="1">
      <c r="B682" s="242">
        <f t="shared" si="42"/>
        <v>45604</v>
      </c>
      <c r="C682" s="123">
        <f t="shared" si="43"/>
        <v>2024</v>
      </c>
      <c r="D682" s="123">
        <f t="shared" si="44"/>
        <v>11</v>
      </c>
      <c r="E682" s="123">
        <f t="shared" si="45"/>
        <v>8</v>
      </c>
      <c r="F682" s="270">
        <v>4480</v>
      </c>
    </row>
    <row r="683" spans="2:6" ht="18" customHeight="1">
      <c r="B683" s="242">
        <f t="shared" si="42"/>
        <v>45605</v>
      </c>
      <c r="C683" s="123">
        <f t="shared" si="43"/>
        <v>2024</v>
      </c>
      <c r="D683" s="123">
        <f t="shared" si="44"/>
        <v>11</v>
      </c>
      <c r="E683" s="123">
        <f t="shared" si="45"/>
        <v>9</v>
      </c>
      <c r="F683" s="270">
        <v>4693</v>
      </c>
    </row>
    <row r="684" spans="2:6" ht="18" customHeight="1">
      <c r="B684" s="242">
        <f t="shared" si="42"/>
        <v>45606</v>
      </c>
      <c r="C684" s="123">
        <f t="shared" si="43"/>
        <v>2024</v>
      </c>
      <c r="D684" s="123">
        <f t="shared" si="44"/>
        <v>11</v>
      </c>
      <c r="E684" s="123">
        <f t="shared" si="45"/>
        <v>10</v>
      </c>
      <c r="F684" s="270">
        <v>8450</v>
      </c>
    </row>
    <row r="685" spans="2:6" ht="18" customHeight="1">
      <c r="B685" s="242">
        <f t="shared" si="42"/>
        <v>45607</v>
      </c>
      <c r="C685" s="123">
        <f t="shared" si="43"/>
        <v>2024</v>
      </c>
      <c r="D685" s="123">
        <f t="shared" si="44"/>
        <v>11</v>
      </c>
      <c r="E685" s="123">
        <f t="shared" si="45"/>
        <v>11</v>
      </c>
      <c r="F685" s="270">
        <v>5096</v>
      </c>
    </row>
    <row r="686" spans="2:6" ht="18" customHeight="1">
      <c r="B686" s="242">
        <f t="shared" si="42"/>
        <v>45608</v>
      </c>
      <c r="C686" s="123">
        <f t="shared" si="43"/>
        <v>2024</v>
      </c>
      <c r="D686" s="123">
        <f t="shared" si="44"/>
        <v>11</v>
      </c>
      <c r="E686" s="123">
        <f t="shared" si="45"/>
        <v>12</v>
      </c>
      <c r="F686" s="270">
        <v>5946</v>
      </c>
    </row>
    <row r="687" spans="2:6" ht="18" customHeight="1">
      <c r="B687" s="242">
        <f t="shared" si="42"/>
        <v>45609</v>
      </c>
      <c r="C687" s="123">
        <f t="shared" si="43"/>
        <v>2024</v>
      </c>
      <c r="D687" s="123">
        <f t="shared" si="44"/>
        <v>11</v>
      </c>
      <c r="E687" s="123">
        <f t="shared" si="45"/>
        <v>13</v>
      </c>
      <c r="F687" s="270">
        <v>5322</v>
      </c>
    </row>
    <row r="688" spans="2:6" ht="18" customHeight="1">
      <c r="B688" s="242">
        <f t="shared" si="42"/>
        <v>45610</v>
      </c>
      <c r="C688" s="123">
        <f t="shared" si="43"/>
        <v>2024</v>
      </c>
      <c r="D688" s="123">
        <f t="shared" si="44"/>
        <v>11</v>
      </c>
      <c r="E688" s="123">
        <f t="shared" si="45"/>
        <v>14</v>
      </c>
      <c r="F688" s="270">
        <v>1857</v>
      </c>
    </row>
    <row r="689" spans="2:6" ht="18" customHeight="1">
      <c r="B689" s="242">
        <f t="shared" si="42"/>
        <v>45611</v>
      </c>
      <c r="C689" s="123">
        <f t="shared" si="43"/>
        <v>2024</v>
      </c>
      <c r="D689" s="123">
        <f t="shared" si="44"/>
        <v>11</v>
      </c>
      <c r="E689" s="123">
        <f t="shared" si="45"/>
        <v>15</v>
      </c>
      <c r="F689" s="270">
        <v>8057</v>
      </c>
    </row>
    <row r="690" spans="2:6" ht="18" customHeight="1">
      <c r="B690" s="242">
        <f t="shared" si="42"/>
        <v>45612</v>
      </c>
      <c r="C690" s="123">
        <f t="shared" si="43"/>
        <v>2024</v>
      </c>
      <c r="D690" s="123">
        <f t="shared" si="44"/>
        <v>11</v>
      </c>
      <c r="E690" s="123">
        <f t="shared" si="45"/>
        <v>16</v>
      </c>
      <c r="F690" s="270">
        <v>1226</v>
      </c>
    </row>
    <row r="691" spans="2:6" ht="18" customHeight="1">
      <c r="B691" s="242">
        <f t="shared" si="42"/>
        <v>45613</v>
      </c>
      <c r="C691" s="123">
        <f t="shared" si="43"/>
        <v>2024</v>
      </c>
      <c r="D691" s="123">
        <f t="shared" si="44"/>
        <v>11</v>
      </c>
      <c r="E691" s="123">
        <f t="shared" si="45"/>
        <v>17</v>
      </c>
      <c r="F691" s="270">
        <v>4339</v>
      </c>
    </row>
    <row r="692" spans="2:6" ht="18" customHeight="1">
      <c r="B692" s="242">
        <f t="shared" ref="B692:B755" si="46">+B691+1</f>
        <v>45614</v>
      </c>
      <c r="C692" s="123">
        <f t="shared" si="43"/>
        <v>2024</v>
      </c>
      <c r="D692" s="123">
        <f t="shared" si="44"/>
        <v>11</v>
      </c>
      <c r="E692" s="123">
        <f t="shared" si="45"/>
        <v>18</v>
      </c>
      <c r="F692" s="270">
        <v>10646</v>
      </c>
    </row>
    <row r="693" spans="2:6" ht="18" customHeight="1">
      <c r="B693" s="242">
        <f t="shared" si="46"/>
        <v>45615</v>
      </c>
      <c r="C693" s="123">
        <f t="shared" si="43"/>
        <v>2024</v>
      </c>
      <c r="D693" s="123">
        <f t="shared" si="44"/>
        <v>11</v>
      </c>
      <c r="E693" s="123">
        <f t="shared" si="45"/>
        <v>19</v>
      </c>
      <c r="F693" s="270">
        <v>8835</v>
      </c>
    </row>
    <row r="694" spans="2:6" ht="18" customHeight="1">
      <c r="B694" s="242">
        <f t="shared" si="46"/>
        <v>45616</v>
      </c>
      <c r="C694" s="123">
        <f t="shared" si="43"/>
        <v>2024</v>
      </c>
      <c r="D694" s="123">
        <f t="shared" si="44"/>
        <v>11</v>
      </c>
      <c r="E694" s="123">
        <f t="shared" si="45"/>
        <v>20</v>
      </c>
      <c r="F694" s="270">
        <v>4062</v>
      </c>
    </row>
    <row r="695" spans="2:6" ht="18" customHeight="1">
      <c r="B695" s="242">
        <f t="shared" si="46"/>
        <v>45617</v>
      </c>
      <c r="C695" s="123">
        <f t="shared" si="43"/>
        <v>2024</v>
      </c>
      <c r="D695" s="123">
        <f t="shared" si="44"/>
        <v>11</v>
      </c>
      <c r="E695" s="123">
        <f t="shared" si="45"/>
        <v>21</v>
      </c>
      <c r="F695" s="270">
        <v>10499</v>
      </c>
    </row>
    <row r="696" spans="2:6" ht="18" customHeight="1">
      <c r="B696" s="242">
        <f t="shared" si="46"/>
        <v>45618</v>
      </c>
      <c r="C696" s="123">
        <f t="shared" si="43"/>
        <v>2024</v>
      </c>
      <c r="D696" s="123">
        <f t="shared" si="44"/>
        <v>11</v>
      </c>
      <c r="E696" s="123">
        <f t="shared" si="45"/>
        <v>22</v>
      </c>
      <c r="F696" s="270">
        <v>6107</v>
      </c>
    </row>
    <row r="697" spans="2:6" ht="18" customHeight="1">
      <c r="B697" s="242">
        <f t="shared" si="46"/>
        <v>45619</v>
      </c>
      <c r="C697" s="123">
        <f t="shared" si="43"/>
        <v>2024</v>
      </c>
      <c r="D697" s="123">
        <f t="shared" si="44"/>
        <v>11</v>
      </c>
      <c r="E697" s="123">
        <f t="shared" si="45"/>
        <v>23</v>
      </c>
      <c r="F697" s="270">
        <v>5699</v>
      </c>
    </row>
    <row r="698" spans="2:6" ht="18" customHeight="1">
      <c r="B698" s="242">
        <f t="shared" si="46"/>
        <v>45620</v>
      </c>
      <c r="C698" s="123">
        <f t="shared" si="43"/>
        <v>2024</v>
      </c>
      <c r="D698" s="123">
        <f t="shared" si="44"/>
        <v>11</v>
      </c>
      <c r="E698" s="123">
        <f t="shared" si="45"/>
        <v>24</v>
      </c>
      <c r="F698" s="270">
        <v>9543</v>
      </c>
    </row>
    <row r="699" spans="2:6" ht="18" customHeight="1">
      <c r="B699" s="242">
        <f t="shared" si="46"/>
        <v>45621</v>
      </c>
      <c r="C699" s="123">
        <f t="shared" si="43"/>
        <v>2024</v>
      </c>
      <c r="D699" s="123">
        <f t="shared" si="44"/>
        <v>11</v>
      </c>
      <c r="E699" s="123">
        <f t="shared" si="45"/>
        <v>25</v>
      </c>
      <c r="F699" s="270">
        <v>9801</v>
      </c>
    </row>
    <row r="700" spans="2:6" ht="18" customHeight="1">
      <c r="B700" s="242">
        <f t="shared" si="46"/>
        <v>45622</v>
      </c>
      <c r="C700" s="123">
        <f t="shared" si="43"/>
        <v>2024</v>
      </c>
      <c r="D700" s="123">
        <f t="shared" si="44"/>
        <v>11</v>
      </c>
      <c r="E700" s="123">
        <f t="shared" si="45"/>
        <v>26</v>
      </c>
      <c r="F700" s="270">
        <v>2716</v>
      </c>
    </row>
    <row r="701" spans="2:6" ht="18" customHeight="1">
      <c r="B701" s="242">
        <f t="shared" si="46"/>
        <v>45623</v>
      </c>
      <c r="C701" s="123">
        <f t="shared" si="43"/>
        <v>2024</v>
      </c>
      <c r="D701" s="123">
        <f t="shared" si="44"/>
        <v>11</v>
      </c>
      <c r="E701" s="123">
        <f t="shared" si="45"/>
        <v>27</v>
      </c>
      <c r="F701" s="270">
        <v>11131</v>
      </c>
    </row>
    <row r="702" spans="2:6" ht="18" customHeight="1">
      <c r="B702" s="242">
        <f t="shared" si="46"/>
        <v>45624</v>
      </c>
      <c r="C702" s="123">
        <f t="shared" si="43"/>
        <v>2024</v>
      </c>
      <c r="D702" s="123">
        <f t="shared" si="44"/>
        <v>11</v>
      </c>
      <c r="E702" s="123">
        <f t="shared" si="45"/>
        <v>28</v>
      </c>
      <c r="F702" s="270">
        <v>5589</v>
      </c>
    </row>
    <row r="703" spans="2:6" ht="18" customHeight="1">
      <c r="B703" s="242">
        <f t="shared" si="46"/>
        <v>45625</v>
      </c>
      <c r="C703" s="123">
        <f t="shared" si="43"/>
        <v>2024</v>
      </c>
      <c r="D703" s="123">
        <f t="shared" si="44"/>
        <v>11</v>
      </c>
      <c r="E703" s="123">
        <f t="shared" si="45"/>
        <v>29</v>
      </c>
      <c r="F703" s="270">
        <v>10247</v>
      </c>
    </row>
    <row r="704" spans="2:6" ht="18" customHeight="1">
      <c r="B704" s="242">
        <f t="shared" si="46"/>
        <v>45626</v>
      </c>
      <c r="C704" s="123">
        <f t="shared" si="43"/>
        <v>2024</v>
      </c>
      <c r="D704" s="123">
        <f t="shared" si="44"/>
        <v>11</v>
      </c>
      <c r="E704" s="123">
        <f t="shared" si="45"/>
        <v>30</v>
      </c>
      <c r="F704" s="270">
        <v>5464</v>
      </c>
    </row>
    <row r="705" spans="2:6" ht="18" customHeight="1">
      <c r="B705" s="242">
        <f t="shared" si="46"/>
        <v>45627</v>
      </c>
      <c r="C705" s="123">
        <f t="shared" si="43"/>
        <v>2024</v>
      </c>
      <c r="D705" s="123">
        <f t="shared" si="44"/>
        <v>12</v>
      </c>
      <c r="E705" s="123">
        <f t="shared" si="45"/>
        <v>1</v>
      </c>
      <c r="F705" s="270">
        <v>10699</v>
      </c>
    </row>
    <row r="706" spans="2:6" ht="18" customHeight="1">
      <c r="B706" s="242">
        <f t="shared" si="46"/>
        <v>45628</v>
      </c>
      <c r="C706" s="123">
        <f t="shared" si="43"/>
        <v>2024</v>
      </c>
      <c r="D706" s="123">
        <f t="shared" si="44"/>
        <v>12</v>
      </c>
      <c r="E706" s="123">
        <f t="shared" si="45"/>
        <v>2</v>
      </c>
      <c r="F706" s="270">
        <v>1550</v>
      </c>
    </row>
    <row r="707" spans="2:6" ht="18" customHeight="1">
      <c r="B707" s="242">
        <f t="shared" si="46"/>
        <v>45629</v>
      </c>
      <c r="C707" s="123">
        <f t="shared" si="43"/>
        <v>2024</v>
      </c>
      <c r="D707" s="123">
        <f t="shared" si="44"/>
        <v>12</v>
      </c>
      <c r="E707" s="123">
        <f t="shared" si="45"/>
        <v>3</v>
      </c>
      <c r="F707" s="270">
        <v>3072</v>
      </c>
    </row>
    <row r="708" spans="2:6" ht="18" customHeight="1">
      <c r="B708" s="242">
        <f t="shared" si="46"/>
        <v>45630</v>
      </c>
      <c r="C708" s="123">
        <f t="shared" si="43"/>
        <v>2024</v>
      </c>
      <c r="D708" s="123">
        <f t="shared" si="44"/>
        <v>12</v>
      </c>
      <c r="E708" s="123">
        <f t="shared" si="45"/>
        <v>4</v>
      </c>
      <c r="F708" s="270">
        <v>9374</v>
      </c>
    </row>
    <row r="709" spans="2:6" ht="18" customHeight="1">
      <c r="B709" s="242">
        <f t="shared" si="46"/>
        <v>45631</v>
      </c>
      <c r="C709" s="123">
        <f t="shared" si="43"/>
        <v>2024</v>
      </c>
      <c r="D709" s="123">
        <f t="shared" si="44"/>
        <v>12</v>
      </c>
      <c r="E709" s="123">
        <f t="shared" si="45"/>
        <v>5</v>
      </c>
      <c r="F709" s="270">
        <v>2561</v>
      </c>
    </row>
    <row r="710" spans="2:6" ht="18" customHeight="1">
      <c r="B710" s="242">
        <f t="shared" si="46"/>
        <v>45632</v>
      </c>
      <c r="C710" s="123">
        <f t="shared" ref="C710:C773" si="47">YEAR(B710)</f>
        <v>2024</v>
      </c>
      <c r="D710" s="123">
        <f t="shared" ref="D710:D773" si="48">MONTH(B710)</f>
        <v>12</v>
      </c>
      <c r="E710" s="123">
        <f t="shared" ref="E710:E773" si="49">DAY(B710)</f>
        <v>6</v>
      </c>
      <c r="F710" s="270">
        <v>3930</v>
      </c>
    </row>
    <row r="711" spans="2:6" ht="18" customHeight="1">
      <c r="B711" s="242">
        <f t="shared" si="46"/>
        <v>45633</v>
      </c>
      <c r="C711" s="123">
        <f t="shared" si="47"/>
        <v>2024</v>
      </c>
      <c r="D711" s="123">
        <f t="shared" si="48"/>
        <v>12</v>
      </c>
      <c r="E711" s="123">
        <f t="shared" si="49"/>
        <v>7</v>
      </c>
      <c r="F711" s="270">
        <v>7823</v>
      </c>
    </row>
    <row r="712" spans="2:6" ht="18" customHeight="1">
      <c r="B712" s="242">
        <f t="shared" si="46"/>
        <v>45634</v>
      </c>
      <c r="C712" s="123">
        <f t="shared" si="47"/>
        <v>2024</v>
      </c>
      <c r="D712" s="123">
        <f t="shared" si="48"/>
        <v>12</v>
      </c>
      <c r="E712" s="123">
        <f t="shared" si="49"/>
        <v>8</v>
      </c>
      <c r="F712" s="270">
        <v>7505</v>
      </c>
    </row>
    <row r="713" spans="2:6" ht="18" customHeight="1">
      <c r="B713" s="242">
        <f t="shared" si="46"/>
        <v>45635</v>
      </c>
      <c r="C713" s="123">
        <f t="shared" si="47"/>
        <v>2024</v>
      </c>
      <c r="D713" s="123">
        <f t="shared" si="48"/>
        <v>12</v>
      </c>
      <c r="E713" s="123">
        <f t="shared" si="49"/>
        <v>9</v>
      </c>
      <c r="F713" s="270">
        <v>2903</v>
      </c>
    </row>
    <row r="714" spans="2:6" ht="18" customHeight="1">
      <c r="B714" s="242">
        <f t="shared" si="46"/>
        <v>45636</v>
      </c>
      <c r="C714" s="123">
        <f t="shared" si="47"/>
        <v>2024</v>
      </c>
      <c r="D714" s="123">
        <f t="shared" si="48"/>
        <v>12</v>
      </c>
      <c r="E714" s="123">
        <f t="shared" si="49"/>
        <v>10</v>
      </c>
      <c r="F714" s="270">
        <v>8644</v>
      </c>
    </row>
    <row r="715" spans="2:6" ht="18" customHeight="1">
      <c r="B715" s="242">
        <f t="shared" si="46"/>
        <v>45637</v>
      </c>
      <c r="C715" s="123">
        <f t="shared" si="47"/>
        <v>2024</v>
      </c>
      <c r="D715" s="123">
        <f t="shared" si="48"/>
        <v>12</v>
      </c>
      <c r="E715" s="123">
        <f t="shared" si="49"/>
        <v>11</v>
      </c>
      <c r="F715" s="270">
        <v>7258</v>
      </c>
    </row>
    <row r="716" spans="2:6" ht="18" customHeight="1">
      <c r="B716" s="242">
        <f t="shared" si="46"/>
        <v>45638</v>
      </c>
      <c r="C716" s="123">
        <f t="shared" si="47"/>
        <v>2024</v>
      </c>
      <c r="D716" s="123">
        <f t="shared" si="48"/>
        <v>12</v>
      </c>
      <c r="E716" s="123">
        <f t="shared" si="49"/>
        <v>12</v>
      </c>
      <c r="F716" s="270">
        <v>8945</v>
      </c>
    </row>
    <row r="717" spans="2:6" ht="18" customHeight="1">
      <c r="B717" s="242">
        <f t="shared" si="46"/>
        <v>45639</v>
      </c>
      <c r="C717" s="123">
        <f t="shared" si="47"/>
        <v>2024</v>
      </c>
      <c r="D717" s="123">
        <f t="shared" si="48"/>
        <v>12</v>
      </c>
      <c r="E717" s="123">
        <f t="shared" si="49"/>
        <v>13</v>
      </c>
      <c r="F717" s="270">
        <v>7736</v>
      </c>
    </row>
    <row r="718" spans="2:6" ht="18" customHeight="1">
      <c r="B718" s="242">
        <f t="shared" si="46"/>
        <v>45640</v>
      </c>
      <c r="C718" s="123">
        <f t="shared" si="47"/>
        <v>2024</v>
      </c>
      <c r="D718" s="123">
        <f t="shared" si="48"/>
        <v>12</v>
      </c>
      <c r="E718" s="123">
        <f t="shared" si="49"/>
        <v>14</v>
      </c>
      <c r="F718" s="270">
        <v>5210</v>
      </c>
    </row>
    <row r="719" spans="2:6" ht="18" customHeight="1">
      <c r="B719" s="242">
        <f t="shared" si="46"/>
        <v>45641</v>
      </c>
      <c r="C719" s="123">
        <f t="shared" si="47"/>
        <v>2024</v>
      </c>
      <c r="D719" s="123">
        <f t="shared" si="48"/>
        <v>12</v>
      </c>
      <c r="E719" s="123">
        <f t="shared" si="49"/>
        <v>15</v>
      </c>
      <c r="F719" s="270">
        <v>10754</v>
      </c>
    </row>
    <row r="720" spans="2:6" ht="18" customHeight="1">
      <c r="B720" s="242">
        <f t="shared" si="46"/>
        <v>45642</v>
      </c>
      <c r="C720" s="123">
        <f t="shared" si="47"/>
        <v>2024</v>
      </c>
      <c r="D720" s="123">
        <f t="shared" si="48"/>
        <v>12</v>
      </c>
      <c r="E720" s="123">
        <f t="shared" si="49"/>
        <v>16</v>
      </c>
      <c r="F720" s="270">
        <v>6410</v>
      </c>
    </row>
    <row r="721" spans="2:6" ht="18" customHeight="1">
      <c r="B721" s="242">
        <f t="shared" si="46"/>
        <v>45643</v>
      </c>
      <c r="C721" s="123">
        <f t="shared" si="47"/>
        <v>2024</v>
      </c>
      <c r="D721" s="123">
        <f t="shared" si="48"/>
        <v>12</v>
      </c>
      <c r="E721" s="123">
        <f t="shared" si="49"/>
        <v>17</v>
      </c>
      <c r="F721" s="270">
        <v>11150</v>
      </c>
    </row>
    <row r="722" spans="2:6" ht="18" customHeight="1">
      <c r="B722" s="242">
        <f t="shared" si="46"/>
        <v>45644</v>
      </c>
      <c r="C722" s="123">
        <f t="shared" si="47"/>
        <v>2024</v>
      </c>
      <c r="D722" s="123">
        <f t="shared" si="48"/>
        <v>12</v>
      </c>
      <c r="E722" s="123">
        <f t="shared" si="49"/>
        <v>18</v>
      </c>
      <c r="F722" s="270">
        <v>5293</v>
      </c>
    </row>
    <row r="723" spans="2:6" ht="18" customHeight="1">
      <c r="B723" s="242">
        <f t="shared" si="46"/>
        <v>45645</v>
      </c>
      <c r="C723" s="123">
        <f t="shared" si="47"/>
        <v>2024</v>
      </c>
      <c r="D723" s="123">
        <f t="shared" si="48"/>
        <v>12</v>
      </c>
      <c r="E723" s="123">
        <f t="shared" si="49"/>
        <v>19</v>
      </c>
      <c r="F723" s="270">
        <v>8160</v>
      </c>
    </row>
    <row r="724" spans="2:6" ht="18" customHeight="1">
      <c r="B724" s="242">
        <f t="shared" si="46"/>
        <v>45646</v>
      </c>
      <c r="C724" s="123">
        <f t="shared" si="47"/>
        <v>2024</v>
      </c>
      <c r="D724" s="123">
        <f t="shared" si="48"/>
        <v>12</v>
      </c>
      <c r="E724" s="123">
        <f t="shared" si="49"/>
        <v>20</v>
      </c>
      <c r="F724" s="270">
        <v>3255</v>
      </c>
    </row>
    <row r="725" spans="2:6" ht="18" customHeight="1">
      <c r="B725" s="242">
        <f t="shared" si="46"/>
        <v>45647</v>
      </c>
      <c r="C725" s="123">
        <f t="shared" si="47"/>
        <v>2024</v>
      </c>
      <c r="D725" s="123">
        <f t="shared" si="48"/>
        <v>12</v>
      </c>
      <c r="E725" s="123">
        <f t="shared" si="49"/>
        <v>21</v>
      </c>
      <c r="F725" s="270">
        <v>2439</v>
      </c>
    </row>
    <row r="726" spans="2:6" ht="18" customHeight="1">
      <c r="B726" s="242">
        <f t="shared" si="46"/>
        <v>45648</v>
      </c>
      <c r="C726" s="123">
        <f t="shared" si="47"/>
        <v>2024</v>
      </c>
      <c r="D726" s="123">
        <f t="shared" si="48"/>
        <v>12</v>
      </c>
      <c r="E726" s="123">
        <f t="shared" si="49"/>
        <v>22</v>
      </c>
      <c r="F726" s="270">
        <v>2816</v>
      </c>
    </row>
    <row r="727" spans="2:6" ht="18" customHeight="1">
      <c r="B727" s="242">
        <f t="shared" si="46"/>
        <v>45649</v>
      </c>
      <c r="C727" s="123">
        <f t="shared" si="47"/>
        <v>2024</v>
      </c>
      <c r="D727" s="123">
        <f t="shared" si="48"/>
        <v>12</v>
      </c>
      <c r="E727" s="123">
        <f t="shared" si="49"/>
        <v>23</v>
      </c>
      <c r="F727" s="270">
        <v>6902</v>
      </c>
    </row>
    <row r="728" spans="2:6" ht="18" customHeight="1">
      <c r="B728" s="242">
        <f t="shared" si="46"/>
        <v>45650</v>
      </c>
      <c r="C728" s="123">
        <f t="shared" si="47"/>
        <v>2024</v>
      </c>
      <c r="D728" s="123">
        <f t="shared" si="48"/>
        <v>12</v>
      </c>
      <c r="E728" s="123">
        <f t="shared" si="49"/>
        <v>24</v>
      </c>
      <c r="F728" s="270">
        <v>6017</v>
      </c>
    </row>
    <row r="729" spans="2:6" ht="18" customHeight="1">
      <c r="B729" s="242">
        <f t="shared" si="46"/>
        <v>45651</v>
      </c>
      <c r="C729" s="123">
        <f t="shared" si="47"/>
        <v>2024</v>
      </c>
      <c r="D729" s="123">
        <f t="shared" si="48"/>
        <v>12</v>
      </c>
      <c r="E729" s="123">
        <f t="shared" si="49"/>
        <v>25</v>
      </c>
      <c r="F729" s="270">
        <v>3145</v>
      </c>
    </row>
    <row r="730" spans="2:6" ht="18" customHeight="1">
      <c r="B730" s="242">
        <f t="shared" si="46"/>
        <v>45652</v>
      </c>
      <c r="C730" s="123">
        <f t="shared" si="47"/>
        <v>2024</v>
      </c>
      <c r="D730" s="123">
        <f t="shared" si="48"/>
        <v>12</v>
      </c>
      <c r="E730" s="123">
        <f t="shared" si="49"/>
        <v>26</v>
      </c>
      <c r="F730" s="270">
        <v>5957</v>
      </c>
    </row>
    <row r="731" spans="2:6" ht="18" customHeight="1">
      <c r="B731" s="242">
        <f t="shared" si="46"/>
        <v>45653</v>
      </c>
      <c r="C731" s="123">
        <f t="shared" si="47"/>
        <v>2024</v>
      </c>
      <c r="D731" s="123">
        <f t="shared" si="48"/>
        <v>12</v>
      </c>
      <c r="E731" s="123">
        <f t="shared" si="49"/>
        <v>27</v>
      </c>
      <c r="F731" s="270">
        <v>7125</v>
      </c>
    </row>
    <row r="732" spans="2:6" ht="18" customHeight="1">
      <c r="B732" s="242">
        <f t="shared" si="46"/>
        <v>45654</v>
      </c>
      <c r="C732" s="123">
        <f t="shared" si="47"/>
        <v>2024</v>
      </c>
      <c r="D732" s="123">
        <f t="shared" si="48"/>
        <v>12</v>
      </c>
      <c r="E732" s="123">
        <f t="shared" si="49"/>
        <v>28</v>
      </c>
      <c r="F732" s="270">
        <v>3622</v>
      </c>
    </row>
    <row r="733" spans="2:6" ht="18" customHeight="1">
      <c r="B733" s="242">
        <f t="shared" si="46"/>
        <v>45655</v>
      </c>
      <c r="C733" s="123">
        <f t="shared" si="47"/>
        <v>2024</v>
      </c>
      <c r="D733" s="123">
        <f t="shared" si="48"/>
        <v>12</v>
      </c>
      <c r="E733" s="123">
        <f t="shared" si="49"/>
        <v>29</v>
      </c>
      <c r="F733" s="270">
        <v>7838</v>
      </c>
    </row>
    <row r="734" spans="2:6" ht="18" customHeight="1">
      <c r="B734" s="242">
        <f t="shared" si="46"/>
        <v>45656</v>
      </c>
      <c r="C734" s="123">
        <f t="shared" si="47"/>
        <v>2024</v>
      </c>
      <c r="D734" s="123">
        <f t="shared" si="48"/>
        <v>12</v>
      </c>
      <c r="E734" s="123">
        <f t="shared" si="49"/>
        <v>30</v>
      </c>
      <c r="F734" s="270">
        <v>9821</v>
      </c>
    </row>
    <row r="735" spans="2:6" ht="18" customHeight="1">
      <c r="B735" s="242">
        <f t="shared" si="46"/>
        <v>45657</v>
      </c>
      <c r="C735" s="123">
        <f t="shared" si="47"/>
        <v>2024</v>
      </c>
      <c r="D735" s="123">
        <f t="shared" si="48"/>
        <v>12</v>
      </c>
      <c r="E735" s="123">
        <f t="shared" si="49"/>
        <v>31</v>
      </c>
      <c r="F735" s="270">
        <v>3412</v>
      </c>
    </row>
    <row r="736" spans="2:6" ht="18" customHeight="1">
      <c r="B736" s="242">
        <f t="shared" si="46"/>
        <v>45658</v>
      </c>
      <c r="C736" s="123">
        <f t="shared" si="47"/>
        <v>2025</v>
      </c>
      <c r="D736" s="123">
        <f t="shared" si="48"/>
        <v>1</v>
      </c>
      <c r="E736" s="123">
        <f t="shared" si="49"/>
        <v>1</v>
      </c>
      <c r="F736" s="270">
        <v>4531</v>
      </c>
    </row>
    <row r="737" spans="2:6" ht="18" customHeight="1">
      <c r="B737" s="242">
        <f t="shared" si="46"/>
        <v>45659</v>
      </c>
      <c r="C737" s="123">
        <f t="shared" si="47"/>
        <v>2025</v>
      </c>
      <c r="D737" s="123">
        <f t="shared" si="48"/>
        <v>1</v>
      </c>
      <c r="E737" s="123">
        <f t="shared" si="49"/>
        <v>2</v>
      </c>
      <c r="F737" s="270">
        <v>9222</v>
      </c>
    </row>
    <row r="738" spans="2:6" ht="18" customHeight="1">
      <c r="B738" s="242">
        <f t="shared" si="46"/>
        <v>45660</v>
      </c>
      <c r="C738" s="123">
        <f t="shared" si="47"/>
        <v>2025</v>
      </c>
      <c r="D738" s="123">
        <f t="shared" si="48"/>
        <v>1</v>
      </c>
      <c r="E738" s="123">
        <f t="shared" si="49"/>
        <v>3</v>
      </c>
      <c r="F738" s="270">
        <v>7919</v>
      </c>
    </row>
    <row r="739" spans="2:6" ht="18" customHeight="1">
      <c r="B739" s="242">
        <f t="shared" si="46"/>
        <v>45661</v>
      </c>
      <c r="C739" s="123">
        <f t="shared" si="47"/>
        <v>2025</v>
      </c>
      <c r="D739" s="123">
        <f t="shared" si="48"/>
        <v>1</v>
      </c>
      <c r="E739" s="123">
        <f t="shared" si="49"/>
        <v>4</v>
      </c>
      <c r="F739" s="270">
        <v>4655</v>
      </c>
    </row>
    <row r="740" spans="2:6" ht="18" customHeight="1">
      <c r="B740" s="242">
        <f t="shared" si="46"/>
        <v>45662</v>
      </c>
      <c r="C740" s="123">
        <f t="shared" si="47"/>
        <v>2025</v>
      </c>
      <c r="D740" s="123">
        <f t="shared" si="48"/>
        <v>1</v>
      </c>
      <c r="E740" s="123">
        <f t="shared" si="49"/>
        <v>5</v>
      </c>
      <c r="F740" s="270">
        <v>9691</v>
      </c>
    </row>
    <row r="741" spans="2:6" ht="18" customHeight="1">
      <c r="B741" s="242">
        <f t="shared" si="46"/>
        <v>45663</v>
      </c>
      <c r="C741" s="123">
        <f t="shared" si="47"/>
        <v>2025</v>
      </c>
      <c r="D741" s="123">
        <f t="shared" si="48"/>
        <v>1</v>
      </c>
      <c r="E741" s="123">
        <f t="shared" si="49"/>
        <v>6</v>
      </c>
      <c r="F741" s="270">
        <v>5308</v>
      </c>
    </row>
    <row r="742" spans="2:6" ht="18" customHeight="1">
      <c r="B742" s="242">
        <f t="shared" si="46"/>
        <v>45664</v>
      </c>
      <c r="C742" s="123">
        <f t="shared" si="47"/>
        <v>2025</v>
      </c>
      <c r="D742" s="123">
        <f t="shared" si="48"/>
        <v>1</v>
      </c>
      <c r="E742" s="123">
        <f t="shared" si="49"/>
        <v>7</v>
      </c>
      <c r="F742" s="270">
        <v>5030</v>
      </c>
    </row>
    <row r="743" spans="2:6" ht="18" customHeight="1">
      <c r="B743" s="242">
        <f t="shared" si="46"/>
        <v>45665</v>
      </c>
      <c r="C743" s="123">
        <f t="shared" si="47"/>
        <v>2025</v>
      </c>
      <c r="D743" s="123">
        <f t="shared" si="48"/>
        <v>1</v>
      </c>
      <c r="E743" s="123">
        <f t="shared" si="49"/>
        <v>8</v>
      </c>
      <c r="F743" s="270">
        <v>5810</v>
      </c>
    </row>
    <row r="744" spans="2:6" ht="18" customHeight="1">
      <c r="B744" s="242">
        <f t="shared" si="46"/>
        <v>45666</v>
      </c>
      <c r="C744" s="123">
        <f t="shared" si="47"/>
        <v>2025</v>
      </c>
      <c r="D744" s="123">
        <f t="shared" si="48"/>
        <v>1</v>
      </c>
      <c r="E744" s="123">
        <f t="shared" si="49"/>
        <v>9</v>
      </c>
      <c r="F744" s="270">
        <v>2225</v>
      </c>
    </row>
    <row r="745" spans="2:6" ht="18" customHeight="1">
      <c r="B745" s="242">
        <f t="shared" si="46"/>
        <v>45667</v>
      </c>
      <c r="C745" s="123">
        <f t="shared" si="47"/>
        <v>2025</v>
      </c>
      <c r="D745" s="123">
        <f t="shared" si="48"/>
        <v>1</v>
      </c>
      <c r="E745" s="123">
        <f t="shared" si="49"/>
        <v>10</v>
      </c>
      <c r="F745" s="270">
        <v>3574</v>
      </c>
    </row>
    <row r="746" spans="2:6" ht="18" customHeight="1">
      <c r="B746" s="242">
        <f t="shared" si="46"/>
        <v>45668</v>
      </c>
      <c r="C746" s="123">
        <f t="shared" si="47"/>
        <v>2025</v>
      </c>
      <c r="D746" s="123">
        <f t="shared" si="48"/>
        <v>1</v>
      </c>
      <c r="E746" s="123">
        <f t="shared" si="49"/>
        <v>11</v>
      </c>
      <c r="F746" s="270">
        <v>9197</v>
      </c>
    </row>
    <row r="747" spans="2:6" ht="18" customHeight="1">
      <c r="B747" s="242">
        <f t="shared" si="46"/>
        <v>45669</v>
      </c>
      <c r="C747" s="123">
        <f t="shared" si="47"/>
        <v>2025</v>
      </c>
      <c r="D747" s="123">
        <f t="shared" si="48"/>
        <v>1</v>
      </c>
      <c r="E747" s="123">
        <f t="shared" si="49"/>
        <v>12</v>
      </c>
      <c r="F747" s="270">
        <v>8800</v>
      </c>
    </row>
    <row r="748" spans="2:6" ht="18" customHeight="1">
      <c r="B748" s="242">
        <f t="shared" si="46"/>
        <v>45670</v>
      </c>
      <c r="C748" s="123">
        <f t="shared" si="47"/>
        <v>2025</v>
      </c>
      <c r="D748" s="123">
        <f t="shared" si="48"/>
        <v>1</v>
      </c>
      <c r="E748" s="123">
        <f t="shared" si="49"/>
        <v>13</v>
      </c>
      <c r="F748" s="270">
        <v>10812</v>
      </c>
    </row>
    <row r="749" spans="2:6" ht="18" customHeight="1">
      <c r="B749" s="242">
        <f t="shared" si="46"/>
        <v>45671</v>
      </c>
      <c r="C749" s="123">
        <f t="shared" si="47"/>
        <v>2025</v>
      </c>
      <c r="D749" s="123">
        <f t="shared" si="48"/>
        <v>1</v>
      </c>
      <c r="E749" s="123">
        <f t="shared" si="49"/>
        <v>14</v>
      </c>
      <c r="F749" s="270">
        <v>3830</v>
      </c>
    </row>
    <row r="750" spans="2:6" ht="18" customHeight="1">
      <c r="B750" s="242">
        <f t="shared" si="46"/>
        <v>45672</v>
      </c>
      <c r="C750" s="123">
        <f t="shared" si="47"/>
        <v>2025</v>
      </c>
      <c r="D750" s="123">
        <f t="shared" si="48"/>
        <v>1</v>
      </c>
      <c r="E750" s="123">
        <f t="shared" si="49"/>
        <v>15</v>
      </c>
      <c r="F750" s="270">
        <v>6628</v>
      </c>
    </row>
    <row r="751" spans="2:6" ht="18" customHeight="1">
      <c r="B751" s="242">
        <f t="shared" si="46"/>
        <v>45673</v>
      </c>
      <c r="C751" s="123">
        <f t="shared" si="47"/>
        <v>2025</v>
      </c>
      <c r="D751" s="123">
        <f t="shared" si="48"/>
        <v>1</v>
      </c>
      <c r="E751" s="123">
        <f t="shared" si="49"/>
        <v>16</v>
      </c>
      <c r="F751" s="270">
        <v>3148</v>
      </c>
    </row>
    <row r="752" spans="2:6" ht="18" customHeight="1">
      <c r="B752" s="242">
        <f t="shared" si="46"/>
        <v>45674</v>
      </c>
      <c r="C752" s="123">
        <f t="shared" si="47"/>
        <v>2025</v>
      </c>
      <c r="D752" s="123">
        <f t="shared" si="48"/>
        <v>1</v>
      </c>
      <c r="E752" s="123">
        <f t="shared" si="49"/>
        <v>17</v>
      </c>
      <c r="F752" s="270">
        <v>10821</v>
      </c>
    </row>
    <row r="753" spans="2:6" ht="18" customHeight="1">
      <c r="B753" s="242">
        <f t="shared" si="46"/>
        <v>45675</v>
      </c>
      <c r="C753" s="123">
        <f t="shared" si="47"/>
        <v>2025</v>
      </c>
      <c r="D753" s="123">
        <f t="shared" si="48"/>
        <v>1</v>
      </c>
      <c r="E753" s="123">
        <f t="shared" si="49"/>
        <v>18</v>
      </c>
      <c r="F753" s="270">
        <v>1305</v>
      </c>
    </row>
    <row r="754" spans="2:6" ht="18" customHeight="1">
      <c r="B754" s="242">
        <f t="shared" si="46"/>
        <v>45676</v>
      </c>
      <c r="C754" s="123">
        <f t="shared" si="47"/>
        <v>2025</v>
      </c>
      <c r="D754" s="123">
        <f t="shared" si="48"/>
        <v>1</v>
      </c>
      <c r="E754" s="123">
        <f t="shared" si="49"/>
        <v>19</v>
      </c>
      <c r="F754" s="270">
        <v>10557</v>
      </c>
    </row>
    <row r="755" spans="2:6" ht="18" customHeight="1">
      <c r="B755" s="242">
        <f t="shared" si="46"/>
        <v>45677</v>
      </c>
      <c r="C755" s="123">
        <f t="shared" si="47"/>
        <v>2025</v>
      </c>
      <c r="D755" s="123">
        <f t="shared" si="48"/>
        <v>1</v>
      </c>
      <c r="E755" s="123">
        <f t="shared" si="49"/>
        <v>20</v>
      </c>
      <c r="F755" s="270">
        <v>8502</v>
      </c>
    </row>
    <row r="756" spans="2:6" ht="18" customHeight="1">
      <c r="B756" s="242">
        <f t="shared" ref="B756:B819" si="50">+B755+1</f>
        <v>45678</v>
      </c>
      <c r="C756" s="123">
        <f t="shared" si="47"/>
        <v>2025</v>
      </c>
      <c r="D756" s="123">
        <f t="shared" si="48"/>
        <v>1</v>
      </c>
      <c r="E756" s="123">
        <f t="shared" si="49"/>
        <v>21</v>
      </c>
      <c r="F756" s="270">
        <v>10714</v>
      </c>
    </row>
    <row r="757" spans="2:6" ht="18" customHeight="1">
      <c r="B757" s="242">
        <f t="shared" si="50"/>
        <v>45679</v>
      </c>
      <c r="C757" s="123">
        <f t="shared" si="47"/>
        <v>2025</v>
      </c>
      <c r="D757" s="123">
        <f t="shared" si="48"/>
        <v>1</v>
      </c>
      <c r="E757" s="123">
        <f t="shared" si="49"/>
        <v>22</v>
      </c>
      <c r="F757" s="270">
        <v>5443</v>
      </c>
    </row>
    <row r="758" spans="2:6" ht="18" customHeight="1">
      <c r="B758" s="242">
        <f t="shared" si="50"/>
        <v>45680</v>
      </c>
      <c r="C758" s="123">
        <f t="shared" si="47"/>
        <v>2025</v>
      </c>
      <c r="D758" s="123">
        <f t="shared" si="48"/>
        <v>1</v>
      </c>
      <c r="E758" s="123">
        <f t="shared" si="49"/>
        <v>23</v>
      </c>
      <c r="F758" s="270">
        <v>10398</v>
      </c>
    </row>
    <row r="759" spans="2:6" ht="18" customHeight="1">
      <c r="B759" s="242">
        <f t="shared" si="50"/>
        <v>45681</v>
      </c>
      <c r="C759" s="123">
        <f t="shared" si="47"/>
        <v>2025</v>
      </c>
      <c r="D759" s="123">
        <f t="shared" si="48"/>
        <v>1</v>
      </c>
      <c r="E759" s="123">
        <f t="shared" si="49"/>
        <v>24</v>
      </c>
      <c r="F759" s="270">
        <v>4907</v>
      </c>
    </row>
    <row r="760" spans="2:6" ht="18" customHeight="1">
      <c r="B760" s="242">
        <f t="shared" si="50"/>
        <v>45682</v>
      </c>
      <c r="C760" s="123">
        <f t="shared" si="47"/>
        <v>2025</v>
      </c>
      <c r="D760" s="123">
        <f t="shared" si="48"/>
        <v>1</v>
      </c>
      <c r="E760" s="123">
        <f t="shared" si="49"/>
        <v>25</v>
      </c>
      <c r="F760" s="270">
        <v>7939</v>
      </c>
    </row>
    <row r="761" spans="2:6" ht="18" customHeight="1">
      <c r="B761" s="242">
        <f t="shared" si="50"/>
        <v>45683</v>
      </c>
      <c r="C761" s="123">
        <f t="shared" si="47"/>
        <v>2025</v>
      </c>
      <c r="D761" s="123">
        <f t="shared" si="48"/>
        <v>1</v>
      </c>
      <c r="E761" s="123">
        <f t="shared" si="49"/>
        <v>26</v>
      </c>
      <c r="F761" s="270">
        <v>5955</v>
      </c>
    </row>
    <row r="762" spans="2:6" ht="18" customHeight="1">
      <c r="B762" s="242">
        <f t="shared" si="50"/>
        <v>45684</v>
      </c>
      <c r="C762" s="123">
        <f t="shared" si="47"/>
        <v>2025</v>
      </c>
      <c r="D762" s="123">
        <f t="shared" si="48"/>
        <v>1</v>
      </c>
      <c r="E762" s="123">
        <f t="shared" si="49"/>
        <v>27</v>
      </c>
      <c r="F762" s="270">
        <v>2934</v>
      </c>
    </row>
    <row r="763" spans="2:6" ht="18" customHeight="1">
      <c r="B763" s="242">
        <f t="shared" si="50"/>
        <v>45685</v>
      </c>
      <c r="C763" s="123">
        <f t="shared" si="47"/>
        <v>2025</v>
      </c>
      <c r="D763" s="123">
        <f t="shared" si="48"/>
        <v>1</v>
      </c>
      <c r="E763" s="123">
        <f t="shared" si="49"/>
        <v>28</v>
      </c>
      <c r="F763" s="270">
        <v>2056</v>
      </c>
    </row>
    <row r="764" spans="2:6" ht="18" customHeight="1">
      <c r="B764" s="242">
        <f t="shared" si="50"/>
        <v>45686</v>
      </c>
      <c r="C764" s="123">
        <f t="shared" si="47"/>
        <v>2025</v>
      </c>
      <c r="D764" s="123">
        <f t="shared" si="48"/>
        <v>1</v>
      </c>
      <c r="E764" s="123">
        <f t="shared" si="49"/>
        <v>29</v>
      </c>
      <c r="F764" s="270">
        <v>9791</v>
      </c>
    </row>
    <row r="765" spans="2:6" ht="18" customHeight="1">
      <c r="B765" s="242">
        <f t="shared" si="50"/>
        <v>45687</v>
      </c>
      <c r="C765" s="123">
        <f t="shared" si="47"/>
        <v>2025</v>
      </c>
      <c r="D765" s="123">
        <f t="shared" si="48"/>
        <v>1</v>
      </c>
      <c r="E765" s="123">
        <f t="shared" si="49"/>
        <v>30</v>
      </c>
      <c r="F765" s="270">
        <v>9827</v>
      </c>
    </row>
    <row r="766" spans="2:6" ht="18" customHeight="1">
      <c r="B766" s="242">
        <f t="shared" si="50"/>
        <v>45688</v>
      </c>
      <c r="C766" s="123">
        <f t="shared" si="47"/>
        <v>2025</v>
      </c>
      <c r="D766" s="123">
        <f t="shared" si="48"/>
        <v>1</v>
      </c>
      <c r="E766" s="123">
        <f t="shared" si="49"/>
        <v>31</v>
      </c>
      <c r="F766" s="270">
        <v>5470</v>
      </c>
    </row>
    <row r="767" spans="2:6" ht="18" customHeight="1">
      <c r="B767" s="242">
        <f t="shared" si="50"/>
        <v>45689</v>
      </c>
      <c r="C767" s="123">
        <f t="shared" si="47"/>
        <v>2025</v>
      </c>
      <c r="D767" s="123">
        <f t="shared" si="48"/>
        <v>2</v>
      </c>
      <c r="E767" s="123">
        <f t="shared" si="49"/>
        <v>1</v>
      </c>
      <c r="F767" s="270">
        <v>5740</v>
      </c>
    </row>
    <row r="768" spans="2:6" ht="18" customHeight="1">
      <c r="B768" s="242">
        <f t="shared" si="50"/>
        <v>45690</v>
      </c>
      <c r="C768" s="123">
        <f t="shared" si="47"/>
        <v>2025</v>
      </c>
      <c r="D768" s="123">
        <f t="shared" si="48"/>
        <v>2</v>
      </c>
      <c r="E768" s="123">
        <f t="shared" si="49"/>
        <v>2</v>
      </c>
      <c r="F768" s="270">
        <v>5030</v>
      </c>
    </row>
    <row r="769" spans="2:6" ht="18" customHeight="1">
      <c r="B769" s="242">
        <f t="shared" si="50"/>
        <v>45691</v>
      </c>
      <c r="C769" s="123">
        <f t="shared" si="47"/>
        <v>2025</v>
      </c>
      <c r="D769" s="123">
        <f t="shared" si="48"/>
        <v>2</v>
      </c>
      <c r="E769" s="123">
        <f t="shared" si="49"/>
        <v>3</v>
      </c>
      <c r="F769" s="270">
        <v>4541</v>
      </c>
    </row>
    <row r="770" spans="2:6" ht="18" customHeight="1">
      <c r="B770" s="242">
        <f t="shared" si="50"/>
        <v>45692</v>
      </c>
      <c r="C770" s="123">
        <f t="shared" si="47"/>
        <v>2025</v>
      </c>
      <c r="D770" s="123">
        <f t="shared" si="48"/>
        <v>2</v>
      </c>
      <c r="E770" s="123">
        <f t="shared" si="49"/>
        <v>4</v>
      </c>
      <c r="F770" s="270">
        <v>2746</v>
      </c>
    </row>
    <row r="771" spans="2:6" ht="18" customHeight="1">
      <c r="B771" s="242">
        <f t="shared" si="50"/>
        <v>45693</v>
      </c>
      <c r="C771" s="123">
        <f t="shared" si="47"/>
        <v>2025</v>
      </c>
      <c r="D771" s="123">
        <f t="shared" si="48"/>
        <v>2</v>
      </c>
      <c r="E771" s="123">
        <f t="shared" si="49"/>
        <v>5</v>
      </c>
      <c r="F771" s="270">
        <v>3622</v>
      </c>
    </row>
    <row r="772" spans="2:6" ht="18" customHeight="1">
      <c r="B772" s="242">
        <f t="shared" si="50"/>
        <v>45694</v>
      </c>
      <c r="C772" s="123">
        <f t="shared" si="47"/>
        <v>2025</v>
      </c>
      <c r="D772" s="123">
        <f t="shared" si="48"/>
        <v>2</v>
      </c>
      <c r="E772" s="123">
        <f t="shared" si="49"/>
        <v>6</v>
      </c>
      <c r="F772" s="270">
        <v>6216</v>
      </c>
    </row>
    <row r="773" spans="2:6" ht="18" customHeight="1">
      <c r="B773" s="242">
        <f t="shared" si="50"/>
        <v>45695</v>
      </c>
      <c r="C773" s="123">
        <f t="shared" si="47"/>
        <v>2025</v>
      </c>
      <c r="D773" s="123">
        <f t="shared" si="48"/>
        <v>2</v>
      </c>
      <c r="E773" s="123">
        <f t="shared" si="49"/>
        <v>7</v>
      </c>
      <c r="F773" s="270">
        <v>9448</v>
      </c>
    </row>
    <row r="774" spans="2:6" ht="18" customHeight="1">
      <c r="B774" s="242">
        <f t="shared" si="50"/>
        <v>45696</v>
      </c>
      <c r="C774" s="123">
        <f t="shared" ref="C774:C837" si="51">YEAR(B774)</f>
        <v>2025</v>
      </c>
      <c r="D774" s="123">
        <f t="shared" ref="D774:D837" si="52">MONTH(B774)</f>
        <v>2</v>
      </c>
      <c r="E774" s="123">
        <f t="shared" ref="E774:E837" si="53">DAY(B774)</f>
        <v>8</v>
      </c>
      <c r="F774" s="270">
        <v>9999</v>
      </c>
    </row>
    <row r="775" spans="2:6" ht="18" customHeight="1">
      <c r="B775" s="242">
        <f t="shared" si="50"/>
        <v>45697</v>
      </c>
      <c r="C775" s="123">
        <f t="shared" si="51"/>
        <v>2025</v>
      </c>
      <c r="D775" s="123">
        <f t="shared" si="52"/>
        <v>2</v>
      </c>
      <c r="E775" s="123">
        <f t="shared" si="53"/>
        <v>9</v>
      </c>
      <c r="F775" s="270">
        <v>4855</v>
      </c>
    </row>
    <row r="776" spans="2:6" ht="18" customHeight="1">
      <c r="B776" s="242">
        <f t="shared" si="50"/>
        <v>45698</v>
      </c>
      <c r="C776" s="123">
        <f t="shared" si="51"/>
        <v>2025</v>
      </c>
      <c r="D776" s="123">
        <f t="shared" si="52"/>
        <v>2</v>
      </c>
      <c r="E776" s="123">
        <f t="shared" si="53"/>
        <v>10</v>
      </c>
      <c r="F776" s="270">
        <v>5854</v>
      </c>
    </row>
    <row r="777" spans="2:6" ht="18" customHeight="1">
      <c r="B777" s="242">
        <f t="shared" si="50"/>
        <v>45699</v>
      </c>
      <c r="C777" s="123">
        <f t="shared" si="51"/>
        <v>2025</v>
      </c>
      <c r="D777" s="123">
        <f t="shared" si="52"/>
        <v>2</v>
      </c>
      <c r="E777" s="123">
        <f t="shared" si="53"/>
        <v>11</v>
      </c>
      <c r="F777" s="270">
        <v>9888</v>
      </c>
    </row>
    <row r="778" spans="2:6" ht="18" customHeight="1">
      <c r="B778" s="242">
        <f t="shared" si="50"/>
        <v>45700</v>
      </c>
      <c r="C778" s="123">
        <f t="shared" si="51"/>
        <v>2025</v>
      </c>
      <c r="D778" s="123">
        <f t="shared" si="52"/>
        <v>2</v>
      </c>
      <c r="E778" s="123">
        <f t="shared" si="53"/>
        <v>12</v>
      </c>
      <c r="F778" s="270">
        <v>2663</v>
      </c>
    </row>
    <row r="779" spans="2:6" ht="18" customHeight="1">
      <c r="B779" s="242">
        <f t="shared" si="50"/>
        <v>45701</v>
      </c>
      <c r="C779" s="123">
        <f t="shared" si="51"/>
        <v>2025</v>
      </c>
      <c r="D779" s="123">
        <f t="shared" si="52"/>
        <v>2</v>
      </c>
      <c r="E779" s="123">
        <f t="shared" si="53"/>
        <v>13</v>
      </c>
      <c r="F779" s="270">
        <v>6957</v>
      </c>
    </row>
    <row r="780" spans="2:6" ht="18" customHeight="1">
      <c r="B780" s="242">
        <f t="shared" si="50"/>
        <v>45702</v>
      </c>
      <c r="C780" s="123">
        <f t="shared" si="51"/>
        <v>2025</v>
      </c>
      <c r="D780" s="123">
        <f t="shared" si="52"/>
        <v>2</v>
      </c>
      <c r="E780" s="123">
        <f t="shared" si="53"/>
        <v>14</v>
      </c>
      <c r="F780" s="270">
        <v>10792</v>
      </c>
    </row>
    <row r="781" spans="2:6" ht="18" customHeight="1">
      <c r="B781" s="242">
        <f t="shared" si="50"/>
        <v>45703</v>
      </c>
      <c r="C781" s="123">
        <f t="shared" si="51"/>
        <v>2025</v>
      </c>
      <c r="D781" s="123">
        <f t="shared" si="52"/>
        <v>2</v>
      </c>
      <c r="E781" s="123">
        <f t="shared" si="53"/>
        <v>15</v>
      </c>
      <c r="F781" s="270">
        <v>10282</v>
      </c>
    </row>
    <row r="782" spans="2:6" ht="18" customHeight="1">
      <c r="B782" s="242">
        <f t="shared" si="50"/>
        <v>45704</v>
      </c>
      <c r="C782" s="123">
        <f t="shared" si="51"/>
        <v>2025</v>
      </c>
      <c r="D782" s="123">
        <f t="shared" si="52"/>
        <v>2</v>
      </c>
      <c r="E782" s="123">
        <f t="shared" si="53"/>
        <v>16</v>
      </c>
      <c r="F782" s="270">
        <v>11026</v>
      </c>
    </row>
    <row r="783" spans="2:6" ht="18" customHeight="1">
      <c r="B783" s="242">
        <f t="shared" si="50"/>
        <v>45705</v>
      </c>
      <c r="C783" s="123">
        <f t="shared" si="51"/>
        <v>2025</v>
      </c>
      <c r="D783" s="123">
        <f t="shared" si="52"/>
        <v>2</v>
      </c>
      <c r="E783" s="123">
        <f t="shared" si="53"/>
        <v>17</v>
      </c>
      <c r="F783" s="270">
        <v>3505</v>
      </c>
    </row>
    <row r="784" spans="2:6" ht="18" customHeight="1">
      <c r="B784" s="242">
        <f t="shared" si="50"/>
        <v>45706</v>
      </c>
      <c r="C784" s="123">
        <f t="shared" si="51"/>
        <v>2025</v>
      </c>
      <c r="D784" s="123">
        <f t="shared" si="52"/>
        <v>2</v>
      </c>
      <c r="E784" s="123">
        <f t="shared" si="53"/>
        <v>18</v>
      </c>
      <c r="F784" s="270">
        <v>2238</v>
      </c>
    </row>
    <row r="785" spans="2:6" ht="18" customHeight="1">
      <c r="B785" s="242">
        <f t="shared" si="50"/>
        <v>45707</v>
      </c>
      <c r="C785" s="123">
        <f t="shared" si="51"/>
        <v>2025</v>
      </c>
      <c r="D785" s="123">
        <f t="shared" si="52"/>
        <v>2</v>
      </c>
      <c r="E785" s="123">
        <f t="shared" si="53"/>
        <v>19</v>
      </c>
      <c r="F785" s="270">
        <v>4425</v>
      </c>
    </row>
    <row r="786" spans="2:6" ht="18" customHeight="1">
      <c r="B786" s="242">
        <f t="shared" si="50"/>
        <v>45708</v>
      </c>
      <c r="C786" s="123">
        <f t="shared" si="51"/>
        <v>2025</v>
      </c>
      <c r="D786" s="123">
        <f t="shared" si="52"/>
        <v>2</v>
      </c>
      <c r="E786" s="123">
        <f t="shared" si="53"/>
        <v>20</v>
      </c>
      <c r="F786" s="270">
        <v>8890</v>
      </c>
    </row>
    <row r="787" spans="2:6" ht="18" customHeight="1">
      <c r="B787" s="242">
        <f t="shared" si="50"/>
        <v>45709</v>
      </c>
      <c r="C787" s="123">
        <f t="shared" si="51"/>
        <v>2025</v>
      </c>
      <c r="D787" s="123">
        <f t="shared" si="52"/>
        <v>2</v>
      </c>
      <c r="E787" s="123">
        <f t="shared" si="53"/>
        <v>21</v>
      </c>
      <c r="F787" s="270">
        <v>9900</v>
      </c>
    </row>
    <row r="788" spans="2:6" ht="18" customHeight="1">
      <c r="B788" s="242">
        <f t="shared" si="50"/>
        <v>45710</v>
      </c>
      <c r="C788" s="123">
        <f t="shared" si="51"/>
        <v>2025</v>
      </c>
      <c r="D788" s="123">
        <f t="shared" si="52"/>
        <v>2</v>
      </c>
      <c r="E788" s="123">
        <f t="shared" si="53"/>
        <v>22</v>
      </c>
      <c r="F788" s="270">
        <v>5583</v>
      </c>
    </row>
    <row r="789" spans="2:6" ht="18" customHeight="1">
      <c r="B789" s="242">
        <f t="shared" si="50"/>
        <v>45711</v>
      </c>
      <c r="C789" s="123">
        <f t="shared" si="51"/>
        <v>2025</v>
      </c>
      <c r="D789" s="123">
        <f t="shared" si="52"/>
        <v>2</v>
      </c>
      <c r="E789" s="123">
        <f t="shared" si="53"/>
        <v>23</v>
      </c>
      <c r="F789" s="270">
        <v>4000</v>
      </c>
    </row>
    <row r="790" spans="2:6" ht="18" customHeight="1">
      <c r="B790" s="242">
        <f t="shared" si="50"/>
        <v>45712</v>
      </c>
      <c r="C790" s="123">
        <f t="shared" si="51"/>
        <v>2025</v>
      </c>
      <c r="D790" s="123">
        <f t="shared" si="52"/>
        <v>2</v>
      </c>
      <c r="E790" s="123">
        <f t="shared" si="53"/>
        <v>24</v>
      </c>
      <c r="F790" s="270">
        <v>8355</v>
      </c>
    </row>
    <row r="791" spans="2:6" ht="18" customHeight="1">
      <c r="B791" s="242">
        <f t="shared" si="50"/>
        <v>45713</v>
      </c>
      <c r="C791" s="123">
        <f t="shared" si="51"/>
        <v>2025</v>
      </c>
      <c r="D791" s="123">
        <f t="shared" si="52"/>
        <v>2</v>
      </c>
      <c r="E791" s="123">
        <f t="shared" si="53"/>
        <v>25</v>
      </c>
      <c r="F791" s="270">
        <v>11024</v>
      </c>
    </row>
    <row r="792" spans="2:6" ht="18" customHeight="1">
      <c r="B792" s="242">
        <f t="shared" si="50"/>
        <v>45714</v>
      </c>
      <c r="C792" s="123">
        <f t="shared" si="51"/>
        <v>2025</v>
      </c>
      <c r="D792" s="123">
        <f t="shared" si="52"/>
        <v>2</v>
      </c>
      <c r="E792" s="123">
        <f t="shared" si="53"/>
        <v>26</v>
      </c>
      <c r="F792" s="270">
        <v>5159</v>
      </c>
    </row>
    <row r="793" spans="2:6" ht="18" customHeight="1">
      <c r="B793" s="242">
        <f t="shared" si="50"/>
        <v>45715</v>
      </c>
      <c r="C793" s="123">
        <f t="shared" si="51"/>
        <v>2025</v>
      </c>
      <c r="D793" s="123">
        <f t="shared" si="52"/>
        <v>2</v>
      </c>
      <c r="E793" s="123">
        <f t="shared" si="53"/>
        <v>27</v>
      </c>
      <c r="F793" s="270">
        <v>3023</v>
      </c>
    </row>
    <row r="794" spans="2:6" ht="18" customHeight="1">
      <c r="B794" s="242">
        <f t="shared" si="50"/>
        <v>45716</v>
      </c>
      <c r="C794" s="123">
        <f t="shared" si="51"/>
        <v>2025</v>
      </c>
      <c r="D794" s="123">
        <f t="shared" si="52"/>
        <v>2</v>
      </c>
      <c r="E794" s="123">
        <f t="shared" si="53"/>
        <v>28</v>
      </c>
      <c r="F794" s="270">
        <v>3377</v>
      </c>
    </row>
    <row r="795" spans="2:6" ht="18" customHeight="1">
      <c r="B795" s="242">
        <f t="shared" si="50"/>
        <v>45717</v>
      </c>
      <c r="C795" s="123">
        <f t="shared" si="51"/>
        <v>2025</v>
      </c>
      <c r="D795" s="123">
        <f t="shared" si="52"/>
        <v>3</v>
      </c>
      <c r="E795" s="123">
        <f t="shared" si="53"/>
        <v>1</v>
      </c>
      <c r="F795" s="270">
        <v>7353</v>
      </c>
    </row>
    <row r="796" spans="2:6" ht="18" customHeight="1">
      <c r="B796" s="242">
        <f t="shared" si="50"/>
        <v>45718</v>
      </c>
      <c r="C796" s="123">
        <f t="shared" si="51"/>
        <v>2025</v>
      </c>
      <c r="D796" s="123">
        <f t="shared" si="52"/>
        <v>3</v>
      </c>
      <c r="E796" s="123">
        <f t="shared" si="53"/>
        <v>2</v>
      </c>
      <c r="F796" s="270">
        <v>3615</v>
      </c>
    </row>
    <row r="797" spans="2:6" ht="18" customHeight="1">
      <c r="B797" s="242">
        <f t="shared" si="50"/>
        <v>45719</v>
      </c>
      <c r="C797" s="123">
        <f t="shared" si="51"/>
        <v>2025</v>
      </c>
      <c r="D797" s="123">
        <f t="shared" si="52"/>
        <v>3</v>
      </c>
      <c r="E797" s="123">
        <f t="shared" si="53"/>
        <v>3</v>
      </c>
      <c r="F797" s="270">
        <v>8135</v>
      </c>
    </row>
    <row r="798" spans="2:6" ht="18" customHeight="1">
      <c r="B798" s="242">
        <f t="shared" si="50"/>
        <v>45720</v>
      </c>
      <c r="C798" s="123">
        <f t="shared" si="51"/>
        <v>2025</v>
      </c>
      <c r="D798" s="123">
        <f t="shared" si="52"/>
        <v>3</v>
      </c>
      <c r="E798" s="123">
        <f t="shared" si="53"/>
        <v>4</v>
      </c>
      <c r="F798" s="270">
        <v>8051</v>
      </c>
    </row>
    <row r="799" spans="2:6" ht="18" customHeight="1">
      <c r="B799" s="242">
        <f t="shared" si="50"/>
        <v>45721</v>
      </c>
      <c r="C799" s="123">
        <f t="shared" si="51"/>
        <v>2025</v>
      </c>
      <c r="D799" s="123">
        <f t="shared" si="52"/>
        <v>3</v>
      </c>
      <c r="E799" s="123">
        <f t="shared" si="53"/>
        <v>5</v>
      </c>
      <c r="F799" s="270">
        <v>10189</v>
      </c>
    </row>
    <row r="800" spans="2:6" ht="18" customHeight="1">
      <c r="B800" s="242">
        <f t="shared" si="50"/>
        <v>45722</v>
      </c>
      <c r="C800" s="123">
        <f t="shared" si="51"/>
        <v>2025</v>
      </c>
      <c r="D800" s="123">
        <f t="shared" si="52"/>
        <v>3</v>
      </c>
      <c r="E800" s="123">
        <f t="shared" si="53"/>
        <v>6</v>
      </c>
      <c r="F800" s="270">
        <v>6844</v>
      </c>
    </row>
    <row r="801" spans="2:6" ht="18" customHeight="1">
      <c r="B801" s="242">
        <f t="shared" si="50"/>
        <v>45723</v>
      </c>
      <c r="C801" s="123">
        <f t="shared" si="51"/>
        <v>2025</v>
      </c>
      <c r="D801" s="123">
        <f t="shared" si="52"/>
        <v>3</v>
      </c>
      <c r="E801" s="123">
        <f t="shared" si="53"/>
        <v>7</v>
      </c>
      <c r="F801" s="270">
        <v>8239</v>
      </c>
    </row>
    <row r="802" spans="2:6" ht="18" customHeight="1">
      <c r="B802" s="242">
        <f t="shared" si="50"/>
        <v>45724</v>
      </c>
      <c r="C802" s="123">
        <f t="shared" si="51"/>
        <v>2025</v>
      </c>
      <c r="D802" s="123">
        <f t="shared" si="52"/>
        <v>3</v>
      </c>
      <c r="E802" s="123">
        <f t="shared" si="53"/>
        <v>8</v>
      </c>
      <c r="F802" s="270">
        <v>10647</v>
      </c>
    </row>
    <row r="803" spans="2:6" ht="18" customHeight="1">
      <c r="B803" s="242">
        <f t="shared" si="50"/>
        <v>45725</v>
      </c>
      <c r="C803" s="123">
        <f t="shared" si="51"/>
        <v>2025</v>
      </c>
      <c r="D803" s="123">
        <f t="shared" si="52"/>
        <v>3</v>
      </c>
      <c r="E803" s="123">
        <f t="shared" si="53"/>
        <v>9</v>
      </c>
      <c r="F803" s="270">
        <v>5565</v>
      </c>
    </row>
    <row r="804" spans="2:6" ht="18" customHeight="1">
      <c r="B804" s="242">
        <f t="shared" si="50"/>
        <v>45726</v>
      </c>
      <c r="C804" s="123">
        <f t="shared" si="51"/>
        <v>2025</v>
      </c>
      <c r="D804" s="123">
        <f t="shared" si="52"/>
        <v>3</v>
      </c>
      <c r="E804" s="123">
        <f t="shared" si="53"/>
        <v>10</v>
      </c>
      <c r="F804" s="270">
        <v>6410</v>
      </c>
    </row>
    <row r="805" spans="2:6" ht="18" customHeight="1">
      <c r="B805" s="242">
        <f t="shared" si="50"/>
        <v>45727</v>
      </c>
      <c r="C805" s="123">
        <f t="shared" si="51"/>
        <v>2025</v>
      </c>
      <c r="D805" s="123">
        <f t="shared" si="52"/>
        <v>3</v>
      </c>
      <c r="E805" s="123">
        <f t="shared" si="53"/>
        <v>11</v>
      </c>
      <c r="F805" s="270">
        <v>7305</v>
      </c>
    </row>
    <row r="806" spans="2:6" ht="18" customHeight="1">
      <c r="B806" s="242">
        <f t="shared" si="50"/>
        <v>45728</v>
      </c>
      <c r="C806" s="123">
        <f t="shared" si="51"/>
        <v>2025</v>
      </c>
      <c r="D806" s="123">
        <f t="shared" si="52"/>
        <v>3</v>
      </c>
      <c r="E806" s="123">
        <f t="shared" si="53"/>
        <v>12</v>
      </c>
      <c r="F806" s="270">
        <v>6019</v>
      </c>
    </row>
    <row r="807" spans="2:6" ht="18" customHeight="1">
      <c r="B807" s="242">
        <f t="shared" si="50"/>
        <v>45729</v>
      </c>
      <c r="C807" s="123">
        <f t="shared" si="51"/>
        <v>2025</v>
      </c>
      <c r="D807" s="123">
        <f t="shared" si="52"/>
        <v>3</v>
      </c>
      <c r="E807" s="123">
        <f t="shared" si="53"/>
        <v>13</v>
      </c>
      <c r="F807" s="270">
        <v>8188</v>
      </c>
    </row>
    <row r="808" spans="2:6" ht="18" customHeight="1">
      <c r="B808" s="242">
        <f t="shared" si="50"/>
        <v>45730</v>
      </c>
      <c r="C808" s="123">
        <f t="shared" si="51"/>
        <v>2025</v>
      </c>
      <c r="D808" s="123">
        <f t="shared" si="52"/>
        <v>3</v>
      </c>
      <c r="E808" s="123">
        <f t="shared" si="53"/>
        <v>14</v>
      </c>
      <c r="F808" s="270">
        <v>8853</v>
      </c>
    </row>
    <row r="809" spans="2:6" ht="18" customHeight="1">
      <c r="B809" s="242">
        <f t="shared" si="50"/>
        <v>45731</v>
      </c>
      <c r="C809" s="123">
        <f t="shared" si="51"/>
        <v>2025</v>
      </c>
      <c r="D809" s="123">
        <f t="shared" si="52"/>
        <v>3</v>
      </c>
      <c r="E809" s="123">
        <f t="shared" si="53"/>
        <v>15</v>
      </c>
      <c r="F809" s="270">
        <v>6559</v>
      </c>
    </row>
    <row r="810" spans="2:6" ht="18" customHeight="1">
      <c r="B810" s="242">
        <f t="shared" si="50"/>
        <v>45732</v>
      </c>
      <c r="C810" s="123">
        <f t="shared" si="51"/>
        <v>2025</v>
      </c>
      <c r="D810" s="123">
        <f t="shared" si="52"/>
        <v>3</v>
      </c>
      <c r="E810" s="123">
        <f t="shared" si="53"/>
        <v>16</v>
      </c>
      <c r="F810" s="270">
        <v>2823</v>
      </c>
    </row>
    <row r="811" spans="2:6" ht="18" customHeight="1">
      <c r="B811" s="242">
        <f t="shared" si="50"/>
        <v>45733</v>
      </c>
      <c r="C811" s="123">
        <f t="shared" si="51"/>
        <v>2025</v>
      </c>
      <c r="D811" s="123">
        <f t="shared" si="52"/>
        <v>3</v>
      </c>
      <c r="E811" s="123">
        <f t="shared" si="53"/>
        <v>17</v>
      </c>
      <c r="F811" s="270">
        <v>9168</v>
      </c>
    </row>
    <row r="812" spans="2:6" ht="18" customHeight="1">
      <c r="B812" s="242">
        <f t="shared" si="50"/>
        <v>45734</v>
      </c>
      <c r="C812" s="123">
        <f t="shared" si="51"/>
        <v>2025</v>
      </c>
      <c r="D812" s="123">
        <f t="shared" si="52"/>
        <v>3</v>
      </c>
      <c r="E812" s="123">
        <f t="shared" si="53"/>
        <v>18</v>
      </c>
      <c r="F812" s="270">
        <v>9696</v>
      </c>
    </row>
    <row r="813" spans="2:6" ht="18" customHeight="1">
      <c r="B813" s="242">
        <f t="shared" si="50"/>
        <v>45735</v>
      </c>
      <c r="C813" s="123">
        <f t="shared" si="51"/>
        <v>2025</v>
      </c>
      <c r="D813" s="123">
        <f t="shared" si="52"/>
        <v>3</v>
      </c>
      <c r="E813" s="123">
        <f t="shared" si="53"/>
        <v>19</v>
      </c>
      <c r="F813" s="270">
        <v>9650</v>
      </c>
    </row>
    <row r="814" spans="2:6" ht="18" customHeight="1">
      <c r="B814" s="242">
        <f t="shared" si="50"/>
        <v>45736</v>
      </c>
      <c r="C814" s="123">
        <f t="shared" si="51"/>
        <v>2025</v>
      </c>
      <c r="D814" s="123">
        <f t="shared" si="52"/>
        <v>3</v>
      </c>
      <c r="E814" s="123">
        <f t="shared" si="53"/>
        <v>20</v>
      </c>
      <c r="F814" s="270">
        <v>9200</v>
      </c>
    </row>
    <row r="815" spans="2:6" ht="18" customHeight="1">
      <c r="B815" s="242">
        <f t="shared" si="50"/>
        <v>45737</v>
      </c>
      <c r="C815" s="123">
        <f t="shared" si="51"/>
        <v>2025</v>
      </c>
      <c r="D815" s="123">
        <f t="shared" si="52"/>
        <v>3</v>
      </c>
      <c r="E815" s="123">
        <f t="shared" si="53"/>
        <v>21</v>
      </c>
      <c r="F815" s="270">
        <v>10515</v>
      </c>
    </row>
    <row r="816" spans="2:6" ht="18" customHeight="1">
      <c r="B816" s="242">
        <f t="shared" si="50"/>
        <v>45738</v>
      </c>
      <c r="C816" s="123">
        <f t="shared" si="51"/>
        <v>2025</v>
      </c>
      <c r="D816" s="123">
        <f t="shared" si="52"/>
        <v>3</v>
      </c>
      <c r="E816" s="123">
        <f t="shared" si="53"/>
        <v>22</v>
      </c>
      <c r="F816" s="270">
        <v>3911</v>
      </c>
    </row>
    <row r="817" spans="2:6" ht="18" customHeight="1">
      <c r="B817" s="242">
        <f t="shared" si="50"/>
        <v>45739</v>
      </c>
      <c r="C817" s="123">
        <f t="shared" si="51"/>
        <v>2025</v>
      </c>
      <c r="D817" s="123">
        <f t="shared" si="52"/>
        <v>3</v>
      </c>
      <c r="E817" s="123">
        <f t="shared" si="53"/>
        <v>23</v>
      </c>
      <c r="F817" s="270">
        <v>7248</v>
      </c>
    </row>
    <row r="818" spans="2:6" ht="18" customHeight="1">
      <c r="B818" s="242">
        <f t="shared" si="50"/>
        <v>45740</v>
      </c>
      <c r="C818" s="123">
        <f t="shared" si="51"/>
        <v>2025</v>
      </c>
      <c r="D818" s="123">
        <f t="shared" si="52"/>
        <v>3</v>
      </c>
      <c r="E818" s="123">
        <f t="shared" si="53"/>
        <v>24</v>
      </c>
      <c r="F818" s="270">
        <v>10836</v>
      </c>
    </row>
    <row r="819" spans="2:6" ht="18" customHeight="1">
      <c r="B819" s="242">
        <f t="shared" si="50"/>
        <v>45741</v>
      </c>
      <c r="C819" s="123">
        <f t="shared" si="51"/>
        <v>2025</v>
      </c>
      <c r="D819" s="123">
        <f t="shared" si="52"/>
        <v>3</v>
      </c>
      <c r="E819" s="123">
        <f t="shared" si="53"/>
        <v>25</v>
      </c>
      <c r="F819" s="270">
        <v>2563</v>
      </c>
    </row>
    <row r="820" spans="2:6" ht="18" customHeight="1">
      <c r="B820" s="242">
        <f t="shared" ref="B820:B883" si="54">+B819+1</f>
        <v>45742</v>
      </c>
      <c r="C820" s="123">
        <f t="shared" si="51"/>
        <v>2025</v>
      </c>
      <c r="D820" s="123">
        <f t="shared" si="52"/>
        <v>3</v>
      </c>
      <c r="E820" s="123">
        <f t="shared" si="53"/>
        <v>26</v>
      </c>
      <c r="F820" s="270">
        <v>6809</v>
      </c>
    </row>
    <row r="821" spans="2:6" ht="18" customHeight="1">
      <c r="B821" s="242">
        <f t="shared" si="54"/>
        <v>45743</v>
      </c>
      <c r="C821" s="123">
        <f t="shared" si="51"/>
        <v>2025</v>
      </c>
      <c r="D821" s="123">
        <f t="shared" si="52"/>
        <v>3</v>
      </c>
      <c r="E821" s="123">
        <f t="shared" si="53"/>
        <v>27</v>
      </c>
      <c r="F821" s="270">
        <v>7953</v>
      </c>
    </row>
    <row r="822" spans="2:6" ht="18" customHeight="1">
      <c r="B822" s="242">
        <f t="shared" si="54"/>
        <v>45744</v>
      </c>
      <c r="C822" s="123">
        <f t="shared" si="51"/>
        <v>2025</v>
      </c>
      <c r="D822" s="123">
        <f t="shared" si="52"/>
        <v>3</v>
      </c>
      <c r="E822" s="123">
        <f t="shared" si="53"/>
        <v>28</v>
      </c>
      <c r="F822" s="270">
        <v>4923</v>
      </c>
    </row>
    <row r="823" spans="2:6" ht="18" customHeight="1">
      <c r="B823" s="242">
        <f t="shared" si="54"/>
        <v>45745</v>
      </c>
      <c r="C823" s="123">
        <f t="shared" si="51"/>
        <v>2025</v>
      </c>
      <c r="D823" s="123">
        <f t="shared" si="52"/>
        <v>3</v>
      </c>
      <c r="E823" s="123">
        <f t="shared" si="53"/>
        <v>29</v>
      </c>
      <c r="F823" s="270">
        <v>1655</v>
      </c>
    </row>
    <row r="824" spans="2:6" ht="18" customHeight="1">
      <c r="B824" s="242">
        <f t="shared" si="54"/>
        <v>45746</v>
      </c>
      <c r="C824" s="123">
        <f t="shared" si="51"/>
        <v>2025</v>
      </c>
      <c r="D824" s="123">
        <f t="shared" si="52"/>
        <v>3</v>
      </c>
      <c r="E824" s="123">
        <f t="shared" si="53"/>
        <v>30</v>
      </c>
      <c r="F824" s="270">
        <v>5591</v>
      </c>
    </row>
    <row r="825" spans="2:6" ht="18" customHeight="1">
      <c r="B825" s="242">
        <f t="shared" si="54"/>
        <v>45747</v>
      </c>
      <c r="C825" s="123">
        <f t="shared" si="51"/>
        <v>2025</v>
      </c>
      <c r="D825" s="123">
        <f t="shared" si="52"/>
        <v>3</v>
      </c>
      <c r="E825" s="123">
        <f t="shared" si="53"/>
        <v>31</v>
      </c>
      <c r="F825" s="270">
        <v>4438</v>
      </c>
    </row>
    <row r="826" spans="2:6" ht="18" customHeight="1">
      <c r="B826" s="242">
        <f t="shared" si="54"/>
        <v>45748</v>
      </c>
      <c r="C826" s="123">
        <f t="shared" si="51"/>
        <v>2025</v>
      </c>
      <c r="D826" s="123">
        <f t="shared" si="52"/>
        <v>4</v>
      </c>
      <c r="E826" s="123">
        <f t="shared" si="53"/>
        <v>1</v>
      </c>
      <c r="F826" s="270">
        <v>1249</v>
      </c>
    </row>
    <row r="827" spans="2:6" ht="18" customHeight="1">
      <c r="B827" s="242">
        <f t="shared" si="54"/>
        <v>45749</v>
      </c>
      <c r="C827" s="123">
        <f t="shared" si="51"/>
        <v>2025</v>
      </c>
      <c r="D827" s="123">
        <f t="shared" si="52"/>
        <v>4</v>
      </c>
      <c r="E827" s="123">
        <f t="shared" si="53"/>
        <v>2</v>
      </c>
      <c r="F827" s="270">
        <v>2056</v>
      </c>
    </row>
    <row r="828" spans="2:6" ht="18" customHeight="1">
      <c r="B828" s="242">
        <f t="shared" si="54"/>
        <v>45750</v>
      </c>
      <c r="C828" s="123">
        <f t="shared" si="51"/>
        <v>2025</v>
      </c>
      <c r="D828" s="123">
        <f t="shared" si="52"/>
        <v>4</v>
      </c>
      <c r="E828" s="123">
        <f t="shared" si="53"/>
        <v>3</v>
      </c>
      <c r="F828" s="270">
        <v>1853</v>
      </c>
    </row>
    <row r="829" spans="2:6" ht="18" customHeight="1">
      <c r="B829" s="242">
        <f t="shared" si="54"/>
        <v>45751</v>
      </c>
      <c r="C829" s="123">
        <f t="shared" si="51"/>
        <v>2025</v>
      </c>
      <c r="D829" s="123">
        <f t="shared" si="52"/>
        <v>4</v>
      </c>
      <c r="E829" s="123">
        <f t="shared" si="53"/>
        <v>4</v>
      </c>
      <c r="F829" s="270">
        <v>2693</v>
      </c>
    </row>
    <row r="830" spans="2:6" ht="18" customHeight="1">
      <c r="B830" s="242">
        <f t="shared" si="54"/>
        <v>45752</v>
      </c>
      <c r="C830" s="123">
        <f t="shared" si="51"/>
        <v>2025</v>
      </c>
      <c r="D830" s="123">
        <f t="shared" si="52"/>
        <v>4</v>
      </c>
      <c r="E830" s="123">
        <f t="shared" si="53"/>
        <v>5</v>
      </c>
      <c r="F830" s="270">
        <v>10389</v>
      </c>
    </row>
    <row r="831" spans="2:6" ht="18" customHeight="1">
      <c r="B831" s="242">
        <f t="shared" si="54"/>
        <v>45753</v>
      </c>
      <c r="C831" s="123">
        <f t="shared" si="51"/>
        <v>2025</v>
      </c>
      <c r="D831" s="123">
        <f t="shared" si="52"/>
        <v>4</v>
      </c>
      <c r="E831" s="123">
        <f t="shared" si="53"/>
        <v>6</v>
      </c>
      <c r="F831" s="270">
        <v>9708</v>
      </c>
    </row>
    <row r="832" spans="2:6" ht="18" customHeight="1">
      <c r="B832" s="242">
        <f t="shared" si="54"/>
        <v>45754</v>
      </c>
      <c r="C832" s="123">
        <f t="shared" si="51"/>
        <v>2025</v>
      </c>
      <c r="D832" s="123">
        <f t="shared" si="52"/>
        <v>4</v>
      </c>
      <c r="E832" s="123">
        <f t="shared" si="53"/>
        <v>7</v>
      </c>
      <c r="F832" s="270">
        <v>10865</v>
      </c>
    </row>
    <row r="833" spans="2:6" ht="18" customHeight="1">
      <c r="B833" s="242">
        <f t="shared" si="54"/>
        <v>45755</v>
      </c>
      <c r="C833" s="123">
        <f t="shared" si="51"/>
        <v>2025</v>
      </c>
      <c r="D833" s="123">
        <f t="shared" si="52"/>
        <v>4</v>
      </c>
      <c r="E833" s="123">
        <f t="shared" si="53"/>
        <v>8</v>
      </c>
      <c r="F833" s="270">
        <v>4609</v>
      </c>
    </row>
    <row r="834" spans="2:6" ht="18" customHeight="1">
      <c r="B834" s="242">
        <f t="shared" si="54"/>
        <v>45756</v>
      </c>
      <c r="C834" s="123">
        <f t="shared" si="51"/>
        <v>2025</v>
      </c>
      <c r="D834" s="123">
        <f t="shared" si="52"/>
        <v>4</v>
      </c>
      <c r="E834" s="123">
        <f t="shared" si="53"/>
        <v>9</v>
      </c>
      <c r="F834" s="270">
        <v>4726</v>
      </c>
    </row>
    <row r="835" spans="2:6" ht="18" customHeight="1">
      <c r="B835" s="242">
        <f t="shared" si="54"/>
        <v>45757</v>
      </c>
      <c r="C835" s="123">
        <f t="shared" si="51"/>
        <v>2025</v>
      </c>
      <c r="D835" s="123">
        <f t="shared" si="52"/>
        <v>4</v>
      </c>
      <c r="E835" s="123">
        <f t="shared" si="53"/>
        <v>10</v>
      </c>
      <c r="F835" s="270">
        <v>1393</v>
      </c>
    </row>
    <row r="836" spans="2:6" ht="18" customHeight="1">
      <c r="B836" s="242">
        <f t="shared" si="54"/>
        <v>45758</v>
      </c>
      <c r="C836" s="123">
        <f t="shared" si="51"/>
        <v>2025</v>
      </c>
      <c r="D836" s="123">
        <f t="shared" si="52"/>
        <v>4</v>
      </c>
      <c r="E836" s="123">
        <f t="shared" si="53"/>
        <v>11</v>
      </c>
      <c r="F836" s="270">
        <v>8629</v>
      </c>
    </row>
    <row r="837" spans="2:6" ht="18" customHeight="1">
      <c r="B837" s="242">
        <f t="shared" si="54"/>
        <v>45759</v>
      </c>
      <c r="C837" s="123">
        <f t="shared" si="51"/>
        <v>2025</v>
      </c>
      <c r="D837" s="123">
        <f t="shared" si="52"/>
        <v>4</v>
      </c>
      <c r="E837" s="123">
        <f t="shared" si="53"/>
        <v>12</v>
      </c>
      <c r="F837" s="270">
        <v>6798</v>
      </c>
    </row>
    <row r="838" spans="2:6" ht="18" customHeight="1">
      <c r="B838" s="242">
        <f t="shared" si="54"/>
        <v>45760</v>
      </c>
      <c r="C838" s="123">
        <f t="shared" ref="C838:C901" si="55">YEAR(B838)</f>
        <v>2025</v>
      </c>
      <c r="D838" s="123">
        <f t="shared" ref="D838:D901" si="56">MONTH(B838)</f>
        <v>4</v>
      </c>
      <c r="E838" s="123">
        <f t="shared" ref="E838:E901" si="57">DAY(B838)</f>
        <v>13</v>
      </c>
      <c r="F838" s="270">
        <v>9397</v>
      </c>
    </row>
    <row r="839" spans="2:6" ht="18" customHeight="1">
      <c r="B839" s="242">
        <f t="shared" si="54"/>
        <v>45761</v>
      </c>
      <c r="C839" s="123">
        <f t="shared" si="55"/>
        <v>2025</v>
      </c>
      <c r="D839" s="123">
        <f t="shared" si="56"/>
        <v>4</v>
      </c>
      <c r="E839" s="123">
        <f t="shared" si="57"/>
        <v>14</v>
      </c>
      <c r="F839" s="270">
        <v>5412</v>
      </c>
    </row>
    <row r="840" spans="2:6" ht="18" customHeight="1">
      <c r="B840" s="242">
        <f t="shared" si="54"/>
        <v>45762</v>
      </c>
      <c r="C840" s="123">
        <f t="shared" si="55"/>
        <v>2025</v>
      </c>
      <c r="D840" s="123">
        <f t="shared" si="56"/>
        <v>4</v>
      </c>
      <c r="E840" s="123">
        <f t="shared" si="57"/>
        <v>15</v>
      </c>
      <c r="F840" s="270">
        <v>2847</v>
      </c>
    </row>
    <row r="841" spans="2:6" ht="18" customHeight="1">
      <c r="B841" s="242">
        <f t="shared" si="54"/>
        <v>45763</v>
      </c>
      <c r="C841" s="123">
        <f t="shared" si="55"/>
        <v>2025</v>
      </c>
      <c r="D841" s="123">
        <f t="shared" si="56"/>
        <v>4</v>
      </c>
      <c r="E841" s="123">
        <f t="shared" si="57"/>
        <v>16</v>
      </c>
      <c r="F841" s="270">
        <v>5700</v>
      </c>
    </row>
    <row r="842" spans="2:6" ht="18" customHeight="1">
      <c r="B842" s="242">
        <f t="shared" si="54"/>
        <v>45764</v>
      </c>
      <c r="C842" s="123">
        <f t="shared" si="55"/>
        <v>2025</v>
      </c>
      <c r="D842" s="123">
        <f t="shared" si="56"/>
        <v>4</v>
      </c>
      <c r="E842" s="123">
        <f t="shared" si="57"/>
        <v>17</v>
      </c>
      <c r="F842" s="270">
        <v>9313</v>
      </c>
    </row>
    <row r="843" spans="2:6" ht="18" customHeight="1">
      <c r="B843" s="242">
        <f t="shared" si="54"/>
        <v>45765</v>
      </c>
      <c r="C843" s="123">
        <f t="shared" si="55"/>
        <v>2025</v>
      </c>
      <c r="D843" s="123">
        <f t="shared" si="56"/>
        <v>4</v>
      </c>
      <c r="E843" s="123">
        <f t="shared" si="57"/>
        <v>18</v>
      </c>
      <c r="F843" s="270">
        <v>2320</v>
      </c>
    </row>
    <row r="844" spans="2:6" ht="18" customHeight="1">
      <c r="B844" s="242">
        <f t="shared" si="54"/>
        <v>45766</v>
      </c>
      <c r="C844" s="123">
        <f t="shared" si="55"/>
        <v>2025</v>
      </c>
      <c r="D844" s="123">
        <f t="shared" si="56"/>
        <v>4</v>
      </c>
      <c r="E844" s="123">
        <f t="shared" si="57"/>
        <v>19</v>
      </c>
      <c r="F844" s="270">
        <v>5487</v>
      </c>
    </row>
    <row r="845" spans="2:6" ht="18" customHeight="1">
      <c r="B845" s="242">
        <f t="shared" si="54"/>
        <v>45767</v>
      </c>
      <c r="C845" s="123">
        <f t="shared" si="55"/>
        <v>2025</v>
      </c>
      <c r="D845" s="123">
        <f t="shared" si="56"/>
        <v>4</v>
      </c>
      <c r="E845" s="123">
        <f t="shared" si="57"/>
        <v>20</v>
      </c>
      <c r="F845" s="270">
        <v>6712</v>
      </c>
    </row>
    <row r="846" spans="2:6" ht="18" customHeight="1">
      <c r="B846" s="242">
        <f t="shared" si="54"/>
        <v>45768</v>
      </c>
      <c r="C846" s="123">
        <f t="shared" si="55"/>
        <v>2025</v>
      </c>
      <c r="D846" s="123">
        <f t="shared" si="56"/>
        <v>4</v>
      </c>
      <c r="E846" s="123">
        <f t="shared" si="57"/>
        <v>21</v>
      </c>
      <c r="F846" s="270">
        <v>8907</v>
      </c>
    </row>
    <row r="847" spans="2:6" ht="18" customHeight="1">
      <c r="B847" s="242">
        <f t="shared" si="54"/>
        <v>45769</v>
      </c>
      <c r="C847" s="123">
        <f t="shared" si="55"/>
        <v>2025</v>
      </c>
      <c r="D847" s="123">
        <f t="shared" si="56"/>
        <v>4</v>
      </c>
      <c r="E847" s="123">
        <f t="shared" si="57"/>
        <v>22</v>
      </c>
      <c r="F847" s="270">
        <v>3238</v>
      </c>
    </row>
    <row r="848" spans="2:6" ht="18" customHeight="1">
      <c r="B848" s="242">
        <f t="shared" si="54"/>
        <v>45770</v>
      </c>
      <c r="C848" s="123">
        <f t="shared" si="55"/>
        <v>2025</v>
      </c>
      <c r="D848" s="123">
        <f t="shared" si="56"/>
        <v>4</v>
      </c>
      <c r="E848" s="123">
        <f t="shared" si="57"/>
        <v>23</v>
      </c>
      <c r="F848" s="270">
        <v>2577</v>
      </c>
    </row>
    <row r="849" spans="2:6" ht="18" customHeight="1">
      <c r="B849" s="242">
        <f t="shared" si="54"/>
        <v>45771</v>
      </c>
      <c r="C849" s="123">
        <f t="shared" si="55"/>
        <v>2025</v>
      </c>
      <c r="D849" s="123">
        <f t="shared" si="56"/>
        <v>4</v>
      </c>
      <c r="E849" s="123">
        <f t="shared" si="57"/>
        <v>24</v>
      </c>
      <c r="F849" s="270">
        <v>7873</v>
      </c>
    </row>
    <row r="850" spans="2:6" ht="18" customHeight="1">
      <c r="B850" s="242">
        <f t="shared" si="54"/>
        <v>45772</v>
      </c>
      <c r="C850" s="123">
        <f t="shared" si="55"/>
        <v>2025</v>
      </c>
      <c r="D850" s="123">
        <f t="shared" si="56"/>
        <v>4</v>
      </c>
      <c r="E850" s="123">
        <f t="shared" si="57"/>
        <v>25</v>
      </c>
      <c r="F850" s="270">
        <v>4410</v>
      </c>
    </row>
    <row r="851" spans="2:6" ht="18" customHeight="1">
      <c r="B851" s="242">
        <f t="shared" si="54"/>
        <v>45773</v>
      </c>
      <c r="C851" s="123">
        <f t="shared" si="55"/>
        <v>2025</v>
      </c>
      <c r="D851" s="123">
        <f t="shared" si="56"/>
        <v>4</v>
      </c>
      <c r="E851" s="123">
        <f t="shared" si="57"/>
        <v>26</v>
      </c>
      <c r="F851" s="270">
        <v>1924</v>
      </c>
    </row>
    <row r="852" spans="2:6" ht="18" customHeight="1">
      <c r="B852" s="242">
        <f t="shared" si="54"/>
        <v>45774</v>
      </c>
      <c r="C852" s="123">
        <f t="shared" si="55"/>
        <v>2025</v>
      </c>
      <c r="D852" s="123">
        <f t="shared" si="56"/>
        <v>4</v>
      </c>
      <c r="E852" s="123">
        <f t="shared" si="57"/>
        <v>27</v>
      </c>
      <c r="F852" s="270">
        <v>8295</v>
      </c>
    </row>
    <row r="853" spans="2:6" ht="18" customHeight="1">
      <c r="B853" s="242">
        <f t="shared" si="54"/>
        <v>45775</v>
      </c>
      <c r="C853" s="123">
        <f t="shared" si="55"/>
        <v>2025</v>
      </c>
      <c r="D853" s="123">
        <f t="shared" si="56"/>
        <v>4</v>
      </c>
      <c r="E853" s="123">
        <f t="shared" si="57"/>
        <v>28</v>
      </c>
      <c r="F853" s="270">
        <v>4436</v>
      </c>
    </row>
    <row r="854" spans="2:6" ht="18" customHeight="1">
      <c r="B854" s="242">
        <f t="shared" si="54"/>
        <v>45776</v>
      </c>
      <c r="C854" s="123">
        <f t="shared" si="55"/>
        <v>2025</v>
      </c>
      <c r="D854" s="123">
        <f t="shared" si="56"/>
        <v>4</v>
      </c>
      <c r="E854" s="123">
        <f t="shared" si="57"/>
        <v>29</v>
      </c>
      <c r="F854" s="270">
        <v>6923</v>
      </c>
    </row>
    <row r="855" spans="2:6" ht="18" customHeight="1">
      <c r="B855" s="242">
        <f t="shared" si="54"/>
        <v>45777</v>
      </c>
      <c r="C855" s="123">
        <f t="shared" si="55"/>
        <v>2025</v>
      </c>
      <c r="D855" s="123">
        <f t="shared" si="56"/>
        <v>4</v>
      </c>
      <c r="E855" s="123">
        <f t="shared" si="57"/>
        <v>30</v>
      </c>
      <c r="F855" s="270">
        <v>8813</v>
      </c>
    </row>
    <row r="856" spans="2:6" ht="18" customHeight="1">
      <c r="B856" s="242">
        <f t="shared" si="54"/>
        <v>45778</v>
      </c>
      <c r="C856" s="123">
        <f t="shared" si="55"/>
        <v>2025</v>
      </c>
      <c r="D856" s="123">
        <f t="shared" si="56"/>
        <v>5</v>
      </c>
      <c r="E856" s="123">
        <f t="shared" si="57"/>
        <v>1</v>
      </c>
      <c r="F856" s="270">
        <v>9949</v>
      </c>
    </row>
    <row r="857" spans="2:6" ht="18" customHeight="1">
      <c r="B857" s="242">
        <f t="shared" si="54"/>
        <v>45779</v>
      </c>
      <c r="C857" s="123">
        <f t="shared" si="55"/>
        <v>2025</v>
      </c>
      <c r="D857" s="123">
        <f t="shared" si="56"/>
        <v>5</v>
      </c>
      <c r="E857" s="123">
        <f t="shared" si="57"/>
        <v>2</v>
      </c>
      <c r="F857" s="270">
        <v>6116</v>
      </c>
    </row>
    <row r="858" spans="2:6" ht="18" customHeight="1">
      <c r="B858" s="242">
        <f t="shared" si="54"/>
        <v>45780</v>
      </c>
      <c r="C858" s="123">
        <f t="shared" si="55"/>
        <v>2025</v>
      </c>
      <c r="D858" s="123">
        <f t="shared" si="56"/>
        <v>5</v>
      </c>
      <c r="E858" s="123">
        <f t="shared" si="57"/>
        <v>3</v>
      </c>
      <c r="F858" s="270">
        <v>10569</v>
      </c>
    </row>
    <row r="859" spans="2:6" ht="18" customHeight="1">
      <c r="B859" s="242">
        <f t="shared" si="54"/>
        <v>45781</v>
      </c>
      <c r="C859" s="123">
        <f t="shared" si="55"/>
        <v>2025</v>
      </c>
      <c r="D859" s="123">
        <f t="shared" si="56"/>
        <v>5</v>
      </c>
      <c r="E859" s="123">
        <f t="shared" si="57"/>
        <v>4</v>
      </c>
      <c r="F859" s="270">
        <v>11041</v>
      </c>
    </row>
    <row r="860" spans="2:6" ht="18" customHeight="1">
      <c r="B860" s="242">
        <f t="shared" si="54"/>
        <v>45782</v>
      </c>
      <c r="C860" s="123">
        <f t="shared" si="55"/>
        <v>2025</v>
      </c>
      <c r="D860" s="123">
        <f t="shared" si="56"/>
        <v>5</v>
      </c>
      <c r="E860" s="123">
        <f t="shared" si="57"/>
        <v>5</v>
      </c>
      <c r="F860" s="270">
        <v>3595</v>
      </c>
    </row>
    <row r="861" spans="2:6" ht="18" customHeight="1">
      <c r="B861" s="242">
        <f t="shared" si="54"/>
        <v>45783</v>
      </c>
      <c r="C861" s="123">
        <f t="shared" si="55"/>
        <v>2025</v>
      </c>
      <c r="D861" s="123">
        <f t="shared" si="56"/>
        <v>5</v>
      </c>
      <c r="E861" s="123">
        <f t="shared" si="57"/>
        <v>6</v>
      </c>
      <c r="F861" s="270">
        <v>10098</v>
      </c>
    </row>
    <row r="862" spans="2:6" ht="18" customHeight="1">
      <c r="B862" s="242">
        <f t="shared" si="54"/>
        <v>45784</v>
      </c>
      <c r="C862" s="123">
        <f t="shared" si="55"/>
        <v>2025</v>
      </c>
      <c r="D862" s="123">
        <f t="shared" si="56"/>
        <v>5</v>
      </c>
      <c r="E862" s="123">
        <f t="shared" si="57"/>
        <v>7</v>
      </c>
      <c r="F862" s="270">
        <v>4918</v>
      </c>
    </row>
    <row r="863" spans="2:6" ht="18" customHeight="1">
      <c r="B863" s="242">
        <f t="shared" si="54"/>
        <v>45785</v>
      </c>
      <c r="C863" s="123">
        <f t="shared" si="55"/>
        <v>2025</v>
      </c>
      <c r="D863" s="123">
        <f t="shared" si="56"/>
        <v>5</v>
      </c>
      <c r="E863" s="123">
        <f t="shared" si="57"/>
        <v>8</v>
      </c>
      <c r="F863" s="270">
        <v>9489</v>
      </c>
    </row>
    <row r="864" spans="2:6" ht="18" customHeight="1">
      <c r="B864" s="242">
        <f t="shared" si="54"/>
        <v>45786</v>
      </c>
      <c r="C864" s="123">
        <f t="shared" si="55"/>
        <v>2025</v>
      </c>
      <c r="D864" s="123">
        <f t="shared" si="56"/>
        <v>5</v>
      </c>
      <c r="E864" s="123">
        <f t="shared" si="57"/>
        <v>9</v>
      </c>
      <c r="F864" s="270">
        <v>4101</v>
      </c>
    </row>
    <row r="865" spans="2:6" ht="18" customHeight="1">
      <c r="B865" s="242">
        <f t="shared" si="54"/>
        <v>45787</v>
      </c>
      <c r="C865" s="123">
        <f t="shared" si="55"/>
        <v>2025</v>
      </c>
      <c r="D865" s="123">
        <f t="shared" si="56"/>
        <v>5</v>
      </c>
      <c r="E865" s="123">
        <f t="shared" si="57"/>
        <v>10</v>
      </c>
      <c r="F865" s="270">
        <v>7299</v>
      </c>
    </row>
    <row r="866" spans="2:6" ht="18" customHeight="1">
      <c r="B866" s="242">
        <f t="shared" si="54"/>
        <v>45788</v>
      </c>
      <c r="C866" s="123">
        <f t="shared" si="55"/>
        <v>2025</v>
      </c>
      <c r="D866" s="123">
        <f t="shared" si="56"/>
        <v>5</v>
      </c>
      <c r="E866" s="123">
        <f t="shared" si="57"/>
        <v>11</v>
      </c>
      <c r="F866" s="270">
        <v>3767</v>
      </c>
    </row>
    <row r="867" spans="2:6" ht="18" customHeight="1">
      <c r="B867" s="242">
        <f t="shared" si="54"/>
        <v>45789</v>
      </c>
      <c r="C867" s="123">
        <f t="shared" si="55"/>
        <v>2025</v>
      </c>
      <c r="D867" s="123">
        <f t="shared" si="56"/>
        <v>5</v>
      </c>
      <c r="E867" s="123">
        <f t="shared" si="57"/>
        <v>12</v>
      </c>
      <c r="F867" s="270">
        <v>3013</v>
      </c>
    </row>
    <row r="868" spans="2:6" ht="18" customHeight="1">
      <c r="B868" s="242">
        <f t="shared" si="54"/>
        <v>45790</v>
      </c>
      <c r="C868" s="123">
        <f t="shared" si="55"/>
        <v>2025</v>
      </c>
      <c r="D868" s="123">
        <f t="shared" si="56"/>
        <v>5</v>
      </c>
      <c r="E868" s="123">
        <f t="shared" si="57"/>
        <v>13</v>
      </c>
      <c r="F868" s="270">
        <v>6980</v>
      </c>
    </row>
    <row r="869" spans="2:6" ht="18" customHeight="1">
      <c r="B869" s="242">
        <f t="shared" si="54"/>
        <v>45791</v>
      </c>
      <c r="C869" s="123">
        <f t="shared" si="55"/>
        <v>2025</v>
      </c>
      <c r="D869" s="123">
        <f t="shared" si="56"/>
        <v>5</v>
      </c>
      <c r="E869" s="123">
        <f t="shared" si="57"/>
        <v>14</v>
      </c>
      <c r="F869" s="270">
        <v>1959</v>
      </c>
    </row>
    <row r="870" spans="2:6" ht="18" customHeight="1">
      <c r="B870" s="242">
        <f t="shared" si="54"/>
        <v>45792</v>
      </c>
      <c r="C870" s="123">
        <f t="shared" si="55"/>
        <v>2025</v>
      </c>
      <c r="D870" s="123">
        <f t="shared" si="56"/>
        <v>5</v>
      </c>
      <c r="E870" s="123">
        <f t="shared" si="57"/>
        <v>15</v>
      </c>
      <c r="F870" s="270">
        <v>2898</v>
      </c>
    </row>
    <row r="871" spans="2:6" ht="18" customHeight="1">
      <c r="B871" s="242">
        <f t="shared" si="54"/>
        <v>45793</v>
      </c>
      <c r="C871" s="123">
        <f t="shared" si="55"/>
        <v>2025</v>
      </c>
      <c r="D871" s="123">
        <f t="shared" si="56"/>
        <v>5</v>
      </c>
      <c r="E871" s="123">
        <f t="shared" si="57"/>
        <v>16</v>
      </c>
      <c r="F871" s="270">
        <v>3711</v>
      </c>
    </row>
    <row r="872" spans="2:6" ht="18" customHeight="1">
      <c r="B872" s="242">
        <f t="shared" si="54"/>
        <v>45794</v>
      </c>
      <c r="C872" s="123">
        <f t="shared" si="55"/>
        <v>2025</v>
      </c>
      <c r="D872" s="123">
        <f t="shared" si="56"/>
        <v>5</v>
      </c>
      <c r="E872" s="123">
        <f t="shared" si="57"/>
        <v>17</v>
      </c>
      <c r="F872" s="270">
        <v>8161</v>
      </c>
    </row>
    <row r="873" spans="2:6" ht="18" customHeight="1">
      <c r="B873" s="242">
        <f t="shared" si="54"/>
        <v>45795</v>
      </c>
      <c r="C873" s="123">
        <f t="shared" si="55"/>
        <v>2025</v>
      </c>
      <c r="D873" s="123">
        <f t="shared" si="56"/>
        <v>5</v>
      </c>
      <c r="E873" s="123">
        <f t="shared" si="57"/>
        <v>18</v>
      </c>
      <c r="F873" s="270">
        <v>3127</v>
      </c>
    </row>
    <row r="874" spans="2:6" ht="18" customHeight="1">
      <c r="B874" s="242">
        <f t="shared" si="54"/>
        <v>45796</v>
      </c>
      <c r="C874" s="123">
        <f t="shared" si="55"/>
        <v>2025</v>
      </c>
      <c r="D874" s="123">
        <f t="shared" si="56"/>
        <v>5</v>
      </c>
      <c r="E874" s="123">
        <f t="shared" si="57"/>
        <v>19</v>
      </c>
      <c r="F874" s="270">
        <v>10684</v>
      </c>
    </row>
    <row r="875" spans="2:6" ht="18" customHeight="1">
      <c r="B875" s="242">
        <f t="shared" si="54"/>
        <v>45797</v>
      </c>
      <c r="C875" s="123">
        <f t="shared" si="55"/>
        <v>2025</v>
      </c>
      <c r="D875" s="123">
        <f t="shared" si="56"/>
        <v>5</v>
      </c>
      <c r="E875" s="123">
        <f t="shared" si="57"/>
        <v>20</v>
      </c>
      <c r="F875" s="270">
        <v>3436</v>
      </c>
    </row>
    <row r="876" spans="2:6" ht="18" customHeight="1">
      <c r="B876" s="242">
        <f t="shared" si="54"/>
        <v>45798</v>
      </c>
      <c r="C876" s="123">
        <f t="shared" si="55"/>
        <v>2025</v>
      </c>
      <c r="D876" s="123">
        <f t="shared" si="56"/>
        <v>5</v>
      </c>
      <c r="E876" s="123">
        <f t="shared" si="57"/>
        <v>21</v>
      </c>
      <c r="F876" s="270">
        <v>8173</v>
      </c>
    </row>
    <row r="877" spans="2:6" ht="18" customHeight="1">
      <c r="B877" s="242">
        <f t="shared" si="54"/>
        <v>45799</v>
      </c>
      <c r="C877" s="123">
        <f t="shared" si="55"/>
        <v>2025</v>
      </c>
      <c r="D877" s="123">
        <f t="shared" si="56"/>
        <v>5</v>
      </c>
      <c r="E877" s="123">
        <f t="shared" si="57"/>
        <v>22</v>
      </c>
      <c r="F877" s="270">
        <v>4789</v>
      </c>
    </row>
    <row r="878" spans="2:6" ht="18" customHeight="1">
      <c r="B878" s="242">
        <f t="shared" si="54"/>
        <v>45800</v>
      </c>
      <c r="C878" s="123">
        <f t="shared" si="55"/>
        <v>2025</v>
      </c>
      <c r="D878" s="123">
        <f t="shared" si="56"/>
        <v>5</v>
      </c>
      <c r="E878" s="123">
        <f t="shared" si="57"/>
        <v>23</v>
      </c>
      <c r="F878" s="270">
        <v>8890</v>
      </c>
    </row>
    <row r="879" spans="2:6" ht="18" customHeight="1">
      <c r="B879" s="242">
        <f t="shared" si="54"/>
        <v>45801</v>
      </c>
      <c r="C879" s="123">
        <f t="shared" si="55"/>
        <v>2025</v>
      </c>
      <c r="D879" s="123">
        <f t="shared" si="56"/>
        <v>5</v>
      </c>
      <c r="E879" s="123">
        <f t="shared" si="57"/>
        <v>24</v>
      </c>
      <c r="F879" s="270">
        <v>5236</v>
      </c>
    </row>
    <row r="880" spans="2:6" ht="18" customHeight="1">
      <c r="B880" s="242">
        <f t="shared" si="54"/>
        <v>45802</v>
      </c>
      <c r="C880" s="123">
        <f t="shared" si="55"/>
        <v>2025</v>
      </c>
      <c r="D880" s="123">
        <f t="shared" si="56"/>
        <v>5</v>
      </c>
      <c r="E880" s="123">
        <f t="shared" si="57"/>
        <v>25</v>
      </c>
      <c r="F880" s="270">
        <v>2702</v>
      </c>
    </row>
    <row r="881" spans="2:6" ht="18" customHeight="1">
      <c r="B881" s="242">
        <f t="shared" si="54"/>
        <v>45803</v>
      </c>
      <c r="C881" s="123">
        <f t="shared" si="55"/>
        <v>2025</v>
      </c>
      <c r="D881" s="123">
        <f t="shared" si="56"/>
        <v>5</v>
      </c>
      <c r="E881" s="123">
        <f t="shared" si="57"/>
        <v>26</v>
      </c>
      <c r="F881" s="270">
        <v>5965</v>
      </c>
    </row>
    <row r="882" spans="2:6" ht="18" customHeight="1">
      <c r="B882" s="242">
        <f t="shared" si="54"/>
        <v>45804</v>
      </c>
      <c r="C882" s="123">
        <f t="shared" si="55"/>
        <v>2025</v>
      </c>
      <c r="D882" s="123">
        <f t="shared" si="56"/>
        <v>5</v>
      </c>
      <c r="E882" s="123">
        <f t="shared" si="57"/>
        <v>27</v>
      </c>
      <c r="F882" s="270">
        <v>3232</v>
      </c>
    </row>
    <row r="883" spans="2:6" ht="18" customHeight="1">
      <c r="B883" s="242">
        <f t="shared" si="54"/>
        <v>45805</v>
      </c>
      <c r="C883" s="123">
        <f t="shared" si="55"/>
        <v>2025</v>
      </c>
      <c r="D883" s="123">
        <f t="shared" si="56"/>
        <v>5</v>
      </c>
      <c r="E883" s="123">
        <f t="shared" si="57"/>
        <v>28</v>
      </c>
      <c r="F883" s="270">
        <v>7944</v>
      </c>
    </row>
    <row r="884" spans="2:6" ht="18" customHeight="1">
      <c r="B884" s="242">
        <f t="shared" ref="B884:B947" si="58">+B883+1</f>
        <v>45806</v>
      </c>
      <c r="C884" s="123">
        <f t="shared" si="55"/>
        <v>2025</v>
      </c>
      <c r="D884" s="123">
        <f t="shared" si="56"/>
        <v>5</v>
      </c>
      <c r="E884" s="123">
        <f t="shared" si="57"/>
        <v>29</v>
      </c>
      <c r="F884" s="270">
        <v>5990</v>
      </c>
    </row>
    <row r="885" spans="2:6" ht="18" customHeight="1">
      <c r="B885" s="242">
        <f t="shared" si="58"/>
        <v>45807</v>
      </c>
      <c r="C885" s="123">
        <f t="shared" si="55"/>
        <v>2025</v>
      </c>
      <c r="D885" s="123">
        <f t="shared" si="56"/>
        <v>5</v>
      </c>
      <c r="E885" s="123">
        <f t="shared" si="57"/>
        <v>30</v>
      </c>
      <c r="F885" s="270">
        <v>9559</v>
      </c>
    </row>
    <row r="886" spans="2:6" ht="18" customHeight="1">
      <c r="B886" s="242">
        <f t="shared" si="58"/>
        <v>45808</v>
      </c>
      <c r="C886" s="123">
        <f t="shared" si="55"/>
        <v>2025</v>
      </c>
      <c r="D886" s="123">
        <f t="shared" si="56"/>
        <v>5</v>
      </c>
      <c r="E886" s="123">
        <f t="shared" si="57"/>
        <v>31</v>
      </c>
      <c r="F886" s="270">
        <v>10650</v>
      </c>
    </row>
    <row r="887" spans="2:6" ht="18" customHeight="1">
      <c r="B887" s="242">
        <f t="shared" si="58"/>
        <v>45809</v>
      </c>
      <c r="C887" s="123">
        <f t="shared" si="55"/>
        <v>2025</v>
      </c>
      <c r="D887" s="123">
        <f t="shared" si="56"/>
        <v>6</v>
      </c>
      <c r="E887" s="123">
        <f t="shared" si="57"/>
        <v>1</v>
      </c>
      <c r="F887" s="270">
        <v>2204</v>
      </c>
    </row>
    <row r="888" spans="2:6" ht="18" customHeight="1">
      <c r="B888" s="242">
        <f t="shared" si="58"/>
        <v>45810</v>
      </c>
      <c r="C888" s="123">
        <f t="shared" si="55"/>
        <v>2025</v>
      </c>
      <c r="D888" s="123">
        <f t="shared" si="56"/>
        <v>6</v>
      </c>
      <c r="E888" s="123">
        <f t="shared" si="57"/>
        <v>2</v>
      </c>
      <c r="F888" s="270">
        <v>5376</v>
      </c>
    </row>
    <row r="889" spans="2:6" ht="18" customHeight="1">
      <c r="B889" s="242">
        <f t="shared" si="58"/>
        <v>45811</v>
      </c>
      <c r="C889" s="123">
        <f t="shared" si="55"/>
        <v>2025</v>
      </c>
      <c r="D889" s="123">
        <f t="shared" si="56"/>
        <v>6</v>
      </c>
      <c r="E889" s="123">
        <f t="shared" si="57"/>
        <v>3</v>
      </c>
      <c r="F889" s="270">
        <v>8113</v>
      </c>
    </row>
    <row r="890" spans="2:6" ht="18" customHeight="1">
      <c r="B890" s="242">
        <f t="shared" si="58"/>
        <v>45812</v>
      </c>
      <c r="C890" s="123">
        <f t="shared" si="55"/>
        <v>2025</v>
      </c>
      <c r="D890" s="123">
        <f t="shared" si="56"/>
        <v>6</v>
      </c>
      <c r="E890" s="123">
        <f t="shared" si="57"/>
        <v>4</v>
      </c>
      <c r="F890" s="270">
        <v>1326</v>
      </c>
    </row>
    <row r="891" spans="2:6" ht="18" customHeight="1">
      <c r="B891" s="242">
        <f t="shared" si="58"/>
        <v>45813</v>
      </c>
      <c r="C891" s="123">
        <f t="shared" si="55"/>
        <v>2025</v>
      </c>
      <c r="D891" s="123">
        <f t="shared" si="56"/>
        <v>6</v>
      </c>
      <c r="E891" s="123">
        <f t="shared" si="57"/>
        <v>5</v>
      </c>
      <c r="F891" s="270">
        <v>7294</v>
      </c>
    </row>
    <row r="892" spans="2:6" ht="18" customHeight="1">
      <c r="B892" s="242">
        <f t="shared" si="58"/>
        <v>45814</v>
      </c>
      <c r="C892" s="123">
        <f t="shared" si="55"/>
        <v>2025</v>
      </c>
      <c r="D892" s="123">
        <f t="shared" si="56"/>
        <v>6</v>
      </c>
      <c r="E892" s="123">
        <f t="shared" si="57"/>
        <v>6</v>
      </c>
      <c r="F892" s="270">
        <v>2241</v>
      </c>
    </row>
    <row r="893" spans="2:6" ht="18" customHeight="1">
      <c r="B893" s="242">
        <f t="shared" si="58"/>
        <v>45815</v>
      </c>
      <c r="C893" s="123">
        <f t="shared" si="55"/>
        <v>2025</v>
      </c>
      <c r="D893" s="123">
        <f t="shared" si="56"/>
        <v>6</v>
      </c>
      <c r="E893" s="123">
        <f t="shared" si="57"/>
        <v>7</v>
      </c>
      <c r="F893" s="270">
        <v>4972</v>
      </c>
    </row>
    <row r="894" spans="2:6" ht="18" customHeight="1">
      <c r="B894" s="242">
        <f t="shared" si="58"/>
        <v>45816</v>
      </c>
      <c r="C894" s="123">
        <f t="shared" si="55"/>
        <v>2025</v>
      </c>
      <c r="D894" s="123">
        <f t="shared" si="56"/>
        <v>6</v>
      </c>
      <c r="E894" s="123">
        <f t="shared" si="57"/>
        <v>8</v>
      </c>
      <c r="F894" s="270">
        <v>6161</v>
      </c>
    </row>
    <row r="895" spans="2:6" ht="18" customHeight="1">
      <c r="B895" s="242">
        <f t="shared" si="58"/>
        <v>45817</v>
      </c>
      <c r="C895" s="123">
        <f t="shared" si="55"/>
        <v>2025</v>
      </c>
      <c r="D895" s="123">
        <f t="shared" si="56"/>
        <v>6</v>
      </c>
      <c r="E895" s="123">
        <f t="shared" si="57"/>
        <v>9</v>
      </c>
      <c r="F895" s="270">
        <v>6635</v>
      </c>
    </row>
    <row r="896" spans="2:6" ht="18" customHeight="1">
      <c r="B896" s="242">
        <f t="shared" si="58"/>
        <v>45818</v>
      </c>
      <c r="C896" s="123">
        <f t="shared" si="55"/>
        <v>2025</v>
      </c>
      <c r="D896" s="123">
        <f t="shared" si="56"/>
        <v>6</v>
      </c>
      <c r="E896" s="123">
        <f t="shared" si="57"/>
        <v>10</v>
      </c>
      <c r="F896" s="270">
        <v>2657</v>
      </c>
    </row>
    <row r="897" spans="2:6" ht="18" customHeight="1">
      <c r="B897" s="242">
        <f t="shared" si="58"/>
        <v>45819</v>
      </c>
      <c r="C897" s="123">
        <f t="shared" si="55"/>
        <v>2025</v>
      </c>
      <c r="D897" s="123">
        <f t="shared" si="56"/>
        <v>6</v>
      </c>
      <c r="E897" s="123">
        <f t="shared" si="57"/>
        <v>11</v>
      </c>
      <c r="F897" s="270">
        <v>9531</v>
      </c>
    </row>
    <row r="898" spans="2:6" ht="18" customHeight="1">
      <c r="B898" s="242">
        <f t="shared" si="58"/>
        <v>45820</v>
      </c>
      <c r="C898" s="123">
        <f t="shared" si="55"/>
        <v>2025</v>
      </c>
      <c r="D898" s="123">
        <f t="shared" si="56"/>
        <v>6</v>
      </c>
      <c r="E898" s="123">
        <f t="shared" si="57"/>
        <v>12</v>
      </c>
      <c r="F898" s="270">
        <v>9487</v>
      </c>
    </row>
    <row r="899" spans="2:6" ht="18" customHeight="1">
      <c r="B899" s="242">
        <f t="shared" si="58"/>
        <v>45821</v>
      </c>
      <c r="C899" s="123">
        <f t="shared" si="55"/>
        <v>2025</v>
      </c>
      <c r="D899" s="123">
        <f t="shared" si="56"/>
        <v>6</v>
      </c>
      <c r="E899" s="123">
        <f t="shared" si="57"/>
        <v>13</v>
      </c>
      <c r="F899" s="270">
        <v>3008</v>
      </c>
    </row>
    <row r="900" spans="2:6" ht="18" customHeight="1">
      <c r="B900" s="242">
        <f t="shared" si="58"/>
        <v>45822</v>
      </c>
      <c r="C900" s="123">
        <f t="shared" si="55"/>
        <v>2025</v>
      </c>
      <c r="D900" s="123">
        <f t="shared" si="56"/>
        <v>6</v>
      </c>
      <c r="E900" s="123">
        <f t="shared" si="57"/>
        <v>14</v>
      </c>
      <c r="F900" s="270">
        <v>9917</v>
      </c>
    </row>
    <row r="901" spans="2:6" ht="18" customHeight="1">
      <c r="B901" s="242">
        <f t="shared" si="58"/>
        <v>45823</v>
      </c>
      <c r="C901" s="123">
        <f t="shared" si="55"/>
        <v>2025</v>
      </c>
      <c r="D901" s="123">
        <f t="shared" si="56"/>
        <v>6</v>
      </c>
      <c r="E901" s="123">
        <f t="shared" si="57"/>
        <v>15</v>
      </c>
      <c r="F901" s="270">
        <v>5729</v>
      </c>
    </row>
    <row r="902" spans="2:6" ht="18" customHeight="1">
      <c r="B902" s="242">
        <f t="shared" si="58"/>
        <v>45824</v>
      </c>
      <c r="C902" s="123">
        <f t="shared" ref="C902:C965" si="59">YEAR(B902)</f>
        <v>2025</v>
      </c>
      <c r="D902" s="123">
        <f t="shared" ref="D902:D965" si="60">MONTH(B902)</f>
        <v>6</v>
      </c>
      <c r="E902" s="123">
        <f t="shared" ref="E902:E965" si="61">DAY(B902)</f>
        <v>16</v>
      </c>
      <c r="F902" s="270">
        <v>2137</v>
      </c>
    </row>
    <row r="903" spans="2:6" ht="18" customHeight="1">
      <c r="B903" s="242">
        <f t="shared" si="58"/>
        <v>45825</v>
      </c>
      <c r="C903" s="123">
        <f t="shared" si="59"/>
        <v>2025</v>
      </c>
      <c r="D903" s="123">
        <f t="shared" si="60"/>
        <v>6</v>
      </c>
      <c r="E903" s="123">
        <f t="shared" si="61"/>
        <v>17</v>
      </c>
      <c r="F903" s="270">
        <v>11006</v>
      </c>
    </row>
    <row r="904" spans="2:6" ht="18" customHeight="1">
      <c r="B904" s="242">
        <f t="shared" si="58"/>
        <v>45826</v>
      </c>
      <c r="C904" s="123">
        <f t="shared" si="59"/>
        <v>2025</v>
      </c>
      <c r="D904" s="123">
        <f t="shared" si="60"/>
        <v>6</v>
      </c>
      <c r="E904" s="123">
        <f t="shared" si="61"/>
        <v>18</v>
      </c>
      <c r="F904" s="270">
        <v>6512</v>
      </c>
    </row>
    <row r="905" spans="2:6" ht="18" customHeight="1">
      <c r="B905" s="242">
        <f t="shared" si="58"/>
        <v>45827</v>
      </c>
      <c r="C905" s="123">
        <f t="shared" si="59"/>
        <v>2025</v>
      </c>
      <c r="D905" s="123">
        <f t="shared" si="60"/>
        <v>6</v>
      </c>
      <c r="E905" s="123">
        <f t="shared" si="61"/>
        <v>19</v>
      </c>
      <c r="F905" s="270">
        <v>6290</v>
      </c>
    </row>
    <row r="906" spans="2:6" ht="18" customHeight="1">
      <c r="B906" s="242">
        <f t="shared" si="58"/>
        <v>45828</v>
      </c>
      <c r="C906" s="123">
        <f t="shared" si="59"/>
        <v>2025</v>
      </c>
      <c r="D906" s="123">
        <f t="shared" si="60"/>
        <v>6</v>
      </c>
      <c r="E906" s="123">
        <f t="shared" si="61"/>
        <v>20</v>
      </c>
      <c r="F906" s="270">
        <v>9734</v>
      </c>
    </row>
    <row r="907" spans="2:6" ht="18" customHeight="1">
      <c r="B907" s="242">
        <f t="shared" si="58"/>
        <v>45829</v>
      </c>
      <c r="C907" s="123">
        <f t="shared" si="59"/>
        <v>2025</v>
      </c>
      <c r="D907" s="123">
        <f t="shared" si="60"/>
        <v>6</v>
      </c>
      <c r="E907" s="123">
        <f t="shared" si="61"/>
        <v>21</v>
      </c>
      <c r="F907" s="270">
        <v>5543</v>
      </c>
    </row>
    <row r="908" spans="2:6" ht="18" customHeight="1">
      <c r="B908" s="242">
        <f t="shared" si="58"/>
        <v>45830</v>
      </c>
      <c r="C908" s="123">
        <f t="shared" si="59"/>
        <v>2025</v>
      </c>
      <c r="D908" s="123">
        <f t="shared" si="60"/>
        <v>6</v>
      </c>
      <c r="E908" s="123">
        <f t="shared" si="61"/>
        <v>22</v>
      </c>
      <c r="F908" s="270">
        <v>2863</v>
      </c>
    </row>
    <row r="909" spans="2:6" ht="18" customHeight="1">
      <c r="B909" s="242">
        <f t="shared" si="58"/>
        <v>45831</v>
      </c>
      <c r="C909" s="123">
        <f t="shared" si="59"/>
        <v>2025</v>
      </c>
      <c r="D909" s="123">
        <f t="shared" si="60"/>
        <v>6</v>
      </c>
      <c r="E909" s="123">
        <f t="shared" si="61"/>
        <v>23</v>
      </c>
      <c r="F909" s="270">
        <v>2589</v>
      </c>
    </row>
    <row r="910" spans="2:6" ht="18" customHeight="1">
      <c r="B910" s="242">
        <f t="shared" si="58"/>
        <v>45832</v>
      </c>
      <c r="C910" s="123">
        <f t="shared" si="59"/>
        <v>2025</v>
      </c>
      <c r="D910" s="123">
        <f t="shared" si="60"/>
        <v>6</v>
      </c>
      <c r="E910" s="123">
        <f t="shared" si="61"/>
        <v>24</v>
      </c>
      <c r="F910" s="270">
        <v>4406</v>
      </c>
    </row>
    <row r="911" spans="2:6" ht="18" customHeight="1">
      <c r="B911" s="242">
        <f t="shared" si="58"/>
        <v>45833</v>
      </c>
      <c r="C911" s="123">
        <f t="shared" si="59"/>
        <v>2025</v>
      </c>
      <c r="D911" s="123">
        <f t="shared" si="60"/>
        <v>6</v>
      </c>
      <c r="E911" s="123">
        <f t="shared" si="61"/>
        <v>25</v>
      </c>
      <c r="F911" s="270">
        <v>10645</v>
      </c>
    </row>
    <row r="912" spans="2:6" ht="18" customHeight="1">
      <c r="B912" s="242">
        <f t="shared" si="58"/>
        <v>45834</v>
      </c>
      <c r="C912" s="123">
        <f t="shared" si="59"/>
        <v>2025</v>
      </c>
      <c r="D912" s="123">
        <f t="shared" si="60"/>
        <v>6</v>
      </c>
      <c r="E912" s="123">
        <f t="shared" si="61"/>
        <v>26</v>
      </c>
      <c r="F912" s="270">
        <v>9247</v>
      </c>
    </row>
    <row r="913" spans="2:6" ht="18" customHeight="1">
      <c r="B913" s="242">
        <f t="shared" si="58"/>
        <v>45835</v>
      </c>
      <c r="C913" s="123">
        <f t="shared" si="59"/>
        <v>2025</v>
      </c>
      <c r="D913" s="123">
        <f t="shared" si="60"/>
        <v>6</v>
      </c>
      <c r="E913" s="123">
        <f t="shared" si="61"/>
        <v>27</v>
      </c>
      <c r="F913" s="270">
        <v>9809</v>
      </c>
    </row>
    <row r="914" spans="2:6" ht="18" customHeight="1">
      <c r="B914" s="242">
        <f t="shared" si="58"/>
        <v>45836</v>
      </c>
      <c r="C914" s="123">
        <f t="shared" si="59"/>
        <v>2025</v>
      </c>
      <c r="D914" s="123">
        <f t="shared" si="60"/>
        <v>6</v>
      </c>
      <c r="E914" s="123">
        <f t="shared" si="61"/>
        <v>28</v>
      </c>
      <c r="F914" s="270">
        <v>10021</v>
      </c>
    </row>
    <row r="915" spans="2:6" ht="18" customHeight="1">
      <c r="B915" s="242">
        <f t="shared" si="58"/>
        <v>45837</v>
      </c>
      <c r="C915" s="123">
        <f t="shared" si="59"/>
        <v>2025</v>
      </c>
      <c r="D915" s="123">
        <f t="shared" si="60"/>
        <v>6</v>
      </c>
      <c r="E915" s="123">
        <f t="shared" si="61"/>
        <v>29</v>
      </c>
      <c r="F915" s="270">
        <v>8137</v>
      </c>
    </row>
    <row r="916" spans="2:6" ht="18" customHeight="1">
      <c r="B916" s="242">
        <f t="shared" si="58"/>
        <v>45838</v>
      </c>
      <c r="C916" s="123">
        <f t="shared" si="59"/>
        <v>2025</v>
      </c>
      <c r="D916" s="123">
        <f t="shared" si="60"/>
        <v>6</v>
      </c>
      <c r="E916" s="123">
        <f t="shared" si="61"/>
        <v>30</v>
      </c>
      <c r="F916" s="270">
        <v>9173</v>
      </c>
    </row>
    <row r="917" spans="2:6" ht="18" customHeight="1">
      <c r="B917" s="242">
        <f t="shared" si="58"/>
        <v>45839</v>
      </c>
      <c r="C917" s="123">
        <f t="shared" si="59"/>
        <v>2025</v>
      </c>
      <c r="D917" s="123">
        <f t="shared" si="60"/>
        <v>7</v>
      </c>
      <c r="E917" s="123">
        <f t="shared" si="61"/>
        <v>1</v>
      </c>
      <c r="F917" s="270">
        <v>9447</v>
      </c>
    </row>
    <row r="918" spans="2:6" ht="18" customHeight="1">
      <c r="B918" s="242">
        <f t="shared" si="58"/>
        <v>45840</v>
      </c>
      <c r="C918" s="123">
        <f t="shared" si="59"/>
        <v>2025</v>
      </c>
      <c r="D918" s="123">
        <f t="shared" si="60"/>
        <v>7</v>
      </c>
      <c r="E918" s="123">
        <f t="shared" si="61"/>
        <v>2</v>
      </c>
      <c r="F918" s="270">
        <v>3797</v>
      </c>
    </row>
    <row r="919" spans="2:6" ht="18" customHeight="1">
      <c r="B919" s="242">
        <f t="shared" si="58"/>
        <v>45841</v>
      </c>
      <c r="C919" s="123">
        <f t="shared" si="59"/>
        <v>2025</v>
      </c>
      <c r="D919" s="123">
        <f t="shared" si="60"/>
        <v>7</v>
      </c>
      <c r="E919" s="123">
        <f t="shared" si="61"/>
        <v>3</v>
      </c>
      <c r="F919" s="270">
        <v>8100</v>
      </c>
    </row>
    <row r="920" spans="2:6" ht="18" customHeight="1">
      <c r="B920" s="242">
        <f t="shared" si="58"/>
        <v>45842</v>
      </c>
      <c r="C920" s="123">
        <f t="shared" si="59"/>
        <v>2025</v>
      </c>
      <c r="D920" s="123">
        <f t="shared" si="60"/>
        <v>7</v>
      </c>
      <c r="E920" s="123">
        <f t="shared" si="61"/>
        <v>4</v>
      </c>
      <c r="F920" s="270">
        <v>1525</v>
      </c>
    </row>
    <row r="921" spans="2:6" ht="18" customHeight="1">
      <c r="B921" s="242">
        <f t="shared" si="58"/>
        <v>45843</v>
      </c>
      <c r="C921" s="123">
        <f t="shared" si="59"/>
        <v>2025</v>
      </c>
      <c r="D921" s="123">
        <f t="shared" si="60"/>
        <v>7</v>
      </c>
      <c r="E921" s="123">
        <f t="shared" si="61"/>
        <v>5</v>
      </c>
      <c r="F921" s="270">
        <v>5423</v>
      </c>
    </row>
    <row r="922" spans="2:6" ht="18" customHeight="1">
      <c r="B922" s="242">
        <f t="shared" si="58"/>
        <v>45844</v>
      </c>
      <c r="C922" s="123">
        <f t="shared" si="59"/>
        <v>2025</v>
      </c>
      <c r="D922" s="123">
        <f t="shared" si="60"/>
        <v>7</v>
      </c>
      <c r="E922" s="123">
        <f t="shared" si="61"/>
        <v>6</v>
      </c>
      <c r="F922" s="270">
        <v>6196</v>
      </c>
    </row>
    <row r="923" spans="2:6" ht="18" customHeight="1">
      <c r="B923" s="242">
        <f t="shared" si="58"/>
        <v>45845</v>
      </c>
      <c r="C923" s="123">
        <f t="shared" si="59"/>
        <v>2025</v>
      </c>
      <c r="D923" s="123">
        <f t="shared" si="60"/>
        <v>7</v>
      </c>
      <c r="E923" s="123">
        <f t="shared" si="61"/>
        <v>7</v>
      </c>
      <c r="F923" s="270">
        <v>7402</v>
      </c>
    </row>
    <row r="924" spans="2:6" ht="18" customHeight="1">
      <c r="B924" s="242">
        <f t="shared" si="58"/>
        <v>45846</v>
      </c>
      <c r="C924" s="123">
        <f t="shared" si="59"/>
        <v>2025</v>
      </c>
      <c r="D924" s="123">
        <f t="shared" si="60"/>
        <v>7</v>
      </c>
      <c r="E924" s="123">
        <f t="shared" si="61"/>
        <v>8</v>
      </c>
      <c r="F924" s="270">
        <v>8418</v>
      </c>
    </row>
    <row r="925" spans="2:6" ht="18" customHeight="1">
      <c r="B925" s="242">
        <f t="shared" si="58"/>
        <v>45847</v>
      </c>
      <c r="C925" s="123">
        <f t="shared" si="59"/>
        <v>2025</v>
      </c>
      <c r="D925" s="123">
        <f t="shared" si="60"/>
        <v>7</v>
      </c>
      <c r="E925" s="123">
        <f t="shared" si="61"/>
        <v>9</v>
      </c>
      <c r="F925" s="270">
        <v>8646</v>
      </c>
    </row>
    <row r="926" spans="2:6" ht="18" customHeight="1">
      <c r="B926" s="242">
        <f t="shared" si="58"/>
        <v>45848</v>
      </c>
      <c r="C926" s="123">
        <f t="shared" si="59"/>
        <v>2025</v>
      </c>
      <c r="D926" s="123">
        <f t="shared" si="60"/>
        <v>7</v>
      </c>
      <c r="E926" s="123">
        <f t="shared" si="61"/>
        <v>10</v>
      </c>
      <c r="F926" s="270">
        <v>10899</v>
      </c>
    </row>
    <row r="927" spans="2:6" ht="18" customHeight="1">
      <c r="B927" s="242">
        <f t="shared" si="58"/>
        <v>45849</v>
      </c>
      <c r="C927" s="123">
        <f t="shared" si="59"/>
        <v>2025</v>
      </c>
      <c r="D927" s="123">
        <f t="shared" si="60"/>
        <v>7</v>
      </c>
      <c r="E927" s="123">
        <f t="shared" si="61"/>
        <v>11</v>
      </c>
      <c r="F927" s="270">
        <v>3973</v>
      </c>
    </row>
    <row r="928" spans="2:6" ht="18" customHeight="1">
      <c r="B928" s="242">
        <f t="shared" si="58"/>
        <v>45850</v>
      </c>
      <c r="C928" s="123">
        <f t="shared" si="59"/>
        <v>2025</v>
      </c>
      <c r="D928" s="123">
        <f t="shared" si="60"/>
        <v>7</v>
      </c>
      <c r="E928" s="123">
        <f t="shared" si="61"/>
        <v>12</v>
      </c>
      <c r="F928" s="270">
        <v>2678</v>
      </c>
    </row>
    <row r="929" spans="2:6" ht="18" customHeight="1">
      <c r="B929" s="242">
        <f t="shared" si="58"/>
        <v>45851</v>
      </c>
      <c r="C929" s="123">
        <f t="shared" si="59"/>
        <v>2025</v>
      </c>
      <c r="D929" s="123">
        <f t="shared" si="60"/>
        <v>7</v>
      </c>
      <c r="E929" s="123">
        <f t="shared" si="61"/>
        <v>13</v>
      </c>
      <c r="F929" s="270">
        <v>8492</v>
      </c>
    </row>
    <row r="930" spans="2:6" ht="18" customHeight="1">
      <c r="B930" s="242">
        <f t="shared" si="58"/>
        <v>45852</v>
      </c>
      <c r="C930" s="123">
        <f t="shared" si="59"/>
        <v>2025</v>
      </c>
      <c r="D930" s="123">
        <f t="shared" si="60"/>
        <v>7</v>
      </c>
      <c r="E930" s="123">
        <f t="shared" si="61"/>
        <v>14</v>
      </c>
      <c r="F930" s="270">
        <v>7431</v>
      </c>
    </row>
    <row r="931" spans="2:6" ht="18" customHeight="1">
      <c r="B931" s="242">
        <f t="shared" si="58"/>
        <v>45853</v>
      </c>
      <c r="C931" s="123">
        <f t="shared" si="59"/>
        <v>2025</v>
      </c>
      <c r="D931" s="123">
        <f t="shared" si="60"/>
        <v>7</v>
      </c>
      <c r="E931" s="123">
        <f t="shared" si="61"/>
        <v>15</v>
      </c>
      <c r="F931" s="270">
        <v>9074</v>
      </c>
    </row>
    <row r="932" spans="2:6" ht="18" customHeight="1">
      <c r="B932" s="242">
        <f t="shared" si="58"/>
        <v>45854</v>
      </c>
      <c r="C932" s="123">
        <f t="shared" si="59"/>
        <v>2025</v>
      </c>
      <c r="D932" s="123">
        <f t="shared" si="60"/>
        <v>7</v>
      </c>
      <c r="E932" s="123">
        <f t="shared" si="61"/>
        <v>16</v>
      </c>
      <c r="F932" s="270">
        <v>2971</v>
      </c>
    </row>
    <row r="933" spans="2:6" ht="18" customHeight="1">
      <c r="B933" s="242">
        <f t="shared" si="58"/>
        <v>45855</v>
      </c>
      <c r="C933" s="123">
        <f t="shared" si="59"/>
        <v>2025</v>
      </c>
      <c r="D933" s="123">
        <f t="shared" si="60"/>
        <v>7</v>
      </c>
      <c r="E933" s="123">
        <f t="shared" si="61"/>
        <v>17</v>
      </c>
      <c r="F933" s="270">
        <v>4390</v>
      </c>
    </row>
    <row r="934" spans="2:6" ht="18" customHeight="1">
      <c r="B934" s="242">
        <f t="shared" si="58"/>
        <v>45856</v>
      </c>
      <c r="C934" s="123">
        <f t="shared" si="59"/>
        <v>2025</v>
      </c>
      <c r="D934" s="123">
        <f t="shared" si="60"/>
        <v>7</v>
      </c>
      <c r="E934" s="123">
        <f t="shared" si="61"/>
        <v>18</v>
      </c>
      <c r="F934" s="270">
        <v>7646</v>
      </c>
    </row>
    <row r="935" spans="2:6" ht="18" customHeight="1">
      <c r="B935" s="242">
        <f t="shared" si="58"/>
        <v>45857</v>
      </c>
      <c r="C935" s="123">
        <f t="shared" si="59"/>
        <v>2025</v>
      </c>
      <c r="D935" s="123">
        <f t="shared" si="60"/>
        <v>7</v>
      </c>
      <c r="E935" s="123">
        <f t="shared" si="61"/>
        <v>19</v>
      </c>
      <c r="F935" s="270">
        <v>4211</v>
      </c>
    </row>
    <row r="936" spans="2:6" ht="18" customHeight="1">
      <c r="B936" s="242">
        <f t="shared" si="58"/>
        <v>45858</v>
      </c>
      <c r="C936" s="123">
        <f t="shared" si="59"/>
        <v>2025</v>
      </c>
      <c r="D936" s="123">
        <f t="shared" si="60"/>
        <v>7</v>
      </c>
      <c r="E936" s="123">
        <f t="shared" si="61"/>
        <v>20</v>
      </c>
      <c r="F936" s="270">
        <v>3765</v>
      </c>
    </row>
    <row r="937" spans="2:6" ht="18" customHeight="1">
      <c r="B937" s="242">
        <f t="shared" si="58"/>
        <v>45859</v>
      </c>
      <c r="C937" s="123">
        <f t="shared" si="59"/>
        <v>2025</v>
      </c>
      <c r="D937" s="123">
        <f t="shared" si="60"/>
        <v>7</v>
      </c>
      <c r="E937" s="123">
        <f t="shared" si="61"/>
        <v>21</v>
      </c>
      <c r="F937" s="270">
        <v>1571</v>
      </c>
    </row>
    <row r="938" spans="2:6" ht="18" customHeight="1">
      <c r="B938" s="242">
        <f t="shared" si="58"/>
        <v>45860</v>
      </c>
      <c r="C938" s="123">
        <f t="shared" si="59"/>
        <v>2025</v>
      </c>
      <c r="D938" s="123">
        <f t="shared" si="60"/>
        <v>7</v>
      </c>
      <c r="E938" s="123">
        <f t="shared" si="61"/>
        <v>22</v>
      </c>
      <c r="F938" s="270">
        <v>1670</v>
      </c>
    </row>
    <row r="939" spans="2:6" ht="18" customHeight="1">
      <c r="B939" s="242">
        <f t="shared" si="58"/>
        <v>45861</v>
      </c>
      <c r="C939" s="123">
        <f t="shared" si="59"/>
        <v>2025</v>
      </c>
      <c r="D939" s="123">
        <f t="shared" si="60"/>
        <v>7</v>
      </c>
      <c r="E939" s="123">
        <f t="shared" si="61"/>
        <v>23</v>
      </c>
      <c r="F939" s="270">
        <v>7518</v>
      </c>
    </row>
    <row r="940" spans="2:6" ht="18" customHeight="1">
      <c r="B940" s="242">
        <f t="shared" si="58"/>
        <v>45862</v>
      </c>
      <c r="C940" s="123">
        <f t="shared" si="59"/>
        <v>2025</v>
      </c>
      <c r="D940" s="123">
        <f t="shared" si="60"/>
        <v>7</v>
      </c>
      <c r="E940" s="123">
        <f t="shared" si="61"/>
        <v>24</v>
      </c>
      <c r="F940" s="270">
        <v>9270</v>
      </c>
    </row>
    <row r="941" spans="2:6" ht="18" customHeight="1">
      <c r="B941" s="242">
        <f t="shared" si="58"/>
        <v>45863</v>
      </c>
      <c r="C941" s="123">
        <f t="shared" si="59"/>
        <v>2025</v>
      </c>
      <c r="D941" s="123">
        <f t="shared" si="60"/>
        <v>7</v>
      </c>
      <c r="E941" s="123">
        <f t="shared" si="61"/>
        <v>25</v>
      </c>
      <c r="F941" s="270">
        <v>5278</v>
      </c>
    </row>
    <row r="942" spans="2:6" ht="18" customHeight="1">
      <c r="B942" s="242">
        <f t="shared" si="58"/>
        <v>45864</v>
      </c>
      <c r="C942" s="123">
        <f t="shared" si="59"/>
        <v>2025</v>
      </c>
      <c r="D942" s="123">
        <f t="shared" si="60"/>
        <v>7</v>
      </c>
      <c r="E942" s="123">
        <f t="shared" si="61"/>
        <v>26</v>
      </c>
      <c r="F942" s="270">
        <v>2570</v>
      </c>
    </row>
    <row r="943" spans="2:6" ht="18" customHeight="1">
      <c r="B943" s="242">
        <f t="shared" si="58"/>
        <v>45865</v>
      </c>
      <c r="C943" s="123">
        <f t="shared" si="59"/>
        <v>2025</v>
      </c>
      <c r="D943" s="123">
        <f t="shared" si="60"/>
        <v>7</v>
      </c>
      <c r="E943" s="123">
        <f t="shared" si="61"/>
        <v>27</v>
      </c>
      <c r="F943" s="270">
        <v>2990</v>
      </c>
    </row>
    <row r="944" spans="2:6" ht="18" customHeight="1">
      <c r="B944" s="242">
        <f t="shared" si="58"/>
        <v>45866</v>
      </c>
      <c r="C944" s="123">
        <f t="shared" si="59"/>
        <v>2025</v>
      </c>
      <c r="D944" s="123">
        <f t="shared" si="60"/>
        <v>7</v>
      </c>
      <c r="E944" s="123">
        <f t="shared" si="61"/>
        <v>28</v>
      </c>
      <c r="F944" s="270">
        <v>10060</v>
      </c>
    </row>
    <row r="945" spans="2:6" ht="18" customHeight="1">
      <c r="B945" s="242">
        <f t="shared" si="58"/>
        <v>45867</v>
      </c>
      <c r="C945" s="123">
        <f t="shared" si="59"/>
        <v>2025</v>
      </c>
      <c r="D945" s="123">
        <f t="shared" si="60"/>
        <v>7</v>
      </c>
      <c r="E945" s="123">
        <f t="shared" si="61"/>
        <v>29</v>
      </c>
      <c r="F945" s="270">
        <v>10186</v>
      </c>
    </row>
    <row r="946" spans="2:6" ht="18" customHeight="1">
      <c r="B946" s="242">
        <f t="shared" si="58"/>
        <v>45868</v>
      </c>
      <c r="C946" s="123">
        <f t="shared" si="59"/>
        <v>2025</v>
      </c>
      <c r="D946" s="123">
        <f t="shared" si="60"/>
        <v>7</v>
      </c>
      <c r="E946" s="123">
        <f t="shared" si="61"/>
        <v>30</v>
      </c>
      <c r="F946" s="270">
        <v>9685</v>
      </c>
    </row>
    <row r="947" spans="2:6" ht="18" customHeight="1">
      <c r="B947" s="242">
        <f t="shared" si="58"/>
        <v>45869</v>
      </c>
      <c r="C947" s="123">
        <f t="shared" si="59"/>
        <v>2025</v>
      </c>
      <c r="D947" s="123">
        <f t="shared" si="60"/>
        <v>7</v>
      </c>
      <c r="E947" s="123">
        <f t="shared" si="61"/>
        <v>31</v>
      </c>
      <c r="F947" s="270">
        <v>2178</v>
      </c>
    </row>
    <row r="948" spans="2:6" ht="18" customHeight="1">
      <c r="B948" s="242">
        <f t="shared" ref="B948:B1011" si="62">+B947+1</f>
        <v>45870</v>
      </c>
      <c r="C948" s="123">
        <f t="shared" si="59"/>
        <v>2025</v>
      </c>
      <c r="D948" s="123">
        <f t="shared" si="60"/>
        <v>8</v>
      </c>
      <c r="E948" s="123">
        <f t="shared" si="61"/>
        <v>1</v>
      </c>
      <c r="F948" s="270">
        <v>9946</v>
      </c>
    </row>
    <row r="949" spans="2:6" ht="18" customHeight="1">
      <c r="B949" s="242">
        <f t="shared" si="62"/>
        <v>45871</v>
      </c>
      <c r="C949" s="123">
        <f t="shared" si="59"/>
        <v>2025</v>
      </c>
      <c r="D949" s="123">
        <f t="shared" si="60"/>
        <v>8</v>
      </c>
      <c r="E949" s="123">
        <f t="shared" si="61"/>
        <v>2</v>
      </c>
      <c r="F949" s="270">
        <v>2224</v>
      </c>
    </row>
    <row r="950" spans="2:6" ht="18" customHeight="1">
      <c r="B950" s="242">
        <f t="shared" si="62"/>
        <v>45872</v>
      </c>
      <c r="C950" s="123">
        <f t="shared" si="59"/>
        <v>2025</v>
      </c>
      <c r="D950" s="123">
        <f t="shared" si="60"/>
        <v>8</v>
      </c>
      <c r="E950" s="123">
        <f t="shared" si="61"/>
        <v>3</v>
      </c>
      <c r="F950" s="270">
        <v>10525</v>
      </c>
    </row>
    <row r="951" spans="2:6" ht="18" customHeight="1">
      <c r="B951" s="242">
        <f t="shared" si="62"/>
        <v>45873</v>
      </c>
      <c r="C951" s="123">
        <f t="shared" si="59"/>
        <v>2025</v>
      </c>
      <c r="D951" s="123">
        <f t="shared" si="60"/>
        <v>8</v>
      </c>
      <c r="E951" s="123">
        <f t="shared" si="61"/>
        <v>4</v>
      </c>
      <c r="F951" s="270">
        <v>5850</v>
      </c>
    </row>
    <row r="952" spans="2:6" ht="18" customHeight="1">
      <c r="B952" s="242">
        <f t="shared" si="62"/>
        <v>45874</v>
      </c>
      <c r="C952" s="123">
        <f t="shared" si="59"/>
        <v>2025</v>
      </c>
      <c r="D952" s="123">
        <f t="shared" si="60"/>
        <v>8</v>
      </c>
      <c r="E952" s="123">
        <f t="shared" si="61"/>
        <v>5</v>
      </c>
      <c r="F952" s="270">
        <v>4020</v>
      </c>
    </row>
    <row r="953" spans="2:6" ht="18" customHeight="1">
      <c r="B953" s="242">
        <f t="shared" si="62"/>
        <v>45875</v>
      </c>
      <c r="C953" s="123">
        <f t="shared" si="59"/>
        <v>2025</v>
      </c>
      <c r="D953" s="123">
        <f t="shared" si="60"/>
        <v>8</v>
      </c>
      <c r="E953" s="123">
        <f t="shared" si="61"/>
        <v>6</v>
      </c>
      <c r="F953" s="270">
        <v>4894</v>
      </c>
    </row>
    <row r="954" spans="2:6" ht="18" customHeight="1">
      <c r="B954" s="242">
        <f t="shared" si="62"/>
        <v>45876</v>
      </c>
      <c r="C954" s="123">
        <f t="shared" si="59"/>
        <v>2025</v>
      </c>
      <c r="D954" s="123">
        <f t="shared" si="60"/>
        <v>8</v>
      </c>
      <c r="E954" s="123">
        <f t="shared" si="61"/>
        <v>7</v>
      </c>
      <c r="F954" s="270">
        <v>6145</v>
      </c>
    </row>
    <row r="955" spans="2:6" ht="18" customHeight="1">
      <c r="B955" s="242">
        <f t="shared" si="62"/>
        <v>45877</v>
      </c>
      <c r="C955" s="123">
        <f t="shared" si="59"/>
        <v>2025</v>
      </c>
      <c r="D955" s="123">
        <f t="shared" si="60"/>
        <v>8</v>
      </c>
      <c r="E955" s="123">
        <f t="shared" si="61"/>
        <v>8</v>
      </c>
      <c r="F955" s="270">
        <v>1749</v>
      </c>
    </row>
    <row r="956" spans="2:6" ht="18" customHeight="1">
      <c r="B956" s="242">
        <f t="shared" si="62"/>
        <v>45878</v>
      </c>
      <c r="C956" s="123">
        <f t="shared" si="59"/>
        <v>2025</v>
      </c>
      <c r="D956" s="123">
        <f t="shared" si="60"/>
        <v>8</v>
      </c>
      <c r="E956" s="123">
        <f t="shared" si="61"/>
        <v>9</v>
      </c>
      <c r="F956" s="270">
        <v>4650</v>
      </c>
    </row>
    <row r="957" spans="2:6" ht="18" customHeight="1">
      <c r="B957" s="242">
        <f t="shared" si="62"/>
        <v>45879</v>
      </c>
      <c r="C957" s="123">
        <f t="shared" si="59"/>
        <v>2025</v>
      </c>
      <c r="D957" s="123">
        <f t="shared" si="60"/>
        <v>8</v>
      </c>
      <c r="E957" s="123">
        <f t="shared" si="61"/>
        <v>10</v>
      </c>
      <c r="F957" s="270">
        <v>9281</v>
      </c>
    </row>
    <row r="958" spans="2:6" ht="18" customHeight="1">
      <c r="B958" s="242">
        <f t="shared" si="62"/>
        <v>45880</v>
      </c>
      <c r="C958" s="123">
        <f t="shared" si="59"/>
        <v>2025</v>
      </c>
      <c r="D958" s="123">
        <f t="shared" si="60"/>
        <v>8</v>
      </c>
      <c r="E958" s="123">
        <f t="shared" si="61"/>
        <v>11</v>
      </c>
      <c r="F958" s="270">
        <v>3307</v>
      </c>
    </row>
    <row r="959" spans="2:6" ht="18" customHeight="1">
      <c r="B959" s="242">
        <f t="shared" si="62"/>
        <v>45881</v>
      </c>
      <c r="C959" s="123">
        <f t="shared" si="59"/>
        <v>2025</v>
      </c>
      <c r="D959" s="123">
        <f t="shared" si="60"/>
        <v>8</v>
      </c>
      <c r="E959" s="123">
        <f t="shared" si="61"/>
        <v>12</v>
      </c>
      <c r="F959" s="270">
        <v>3671</v>
      </c>
    </row>
    <row r="960" spans="2:6" ht="18" customHeight="1">
      <c r="B960" s="242">
        <f t="shared" si="62"/>
        <v>45882</v>
      </c>
      <c r="C960" s="123">
        <f t="shared" si="59"/>
        <v>2025</v>
      </c>
      <c r="D960" s="123">
        <f t="shared" si="60"/>
        <v>8</v>
      </c>
      <c r="E960" s="123">
        <f t="shared" si="61"/>
        <v>13</v>
      </c>
      <c r="F960" s="270">
        <v>5821</v>
      </c>
    </row>
    <row r="961" spans="2:6" ht="18" customHeight="1">
      <c r="B961" s="242">
        <f t="shared" si="62"/>
        <v>45883</v>
      </c>
      <c r="C961" s="123">
        <f t="shared" si="59"/>
        <v>2025</v>
      </c>
      <c r="D961" s="123">
        <f t="shared" si="60"/>
        <v>8</v>
      </c>
      <c r="E961" s="123">
        <f t="shared" si="61"/>
        <v>14</v>
      </c>
      <c r="F961" s="270">
        <v>3492</v>
      </c>
    </row>
    <row r="962" spans="2:6" ht="18" customHeight="1">
      <c r="B962" s="242">
        <f t="shared" si="62"/>
        <v>45884</v>
      </c>
      <c r="C962" s="123">
        <f t="shared" si="59"/>
        <v>2025</v>
      </c>
      <c r="D962" s="123">
        <f t="shared" si="60"/>
        <v>8</v>
      </c>
      <c r="E962" s="123">
        <f t="shared" si="61"/>
        <v>15</v>
      </c>
      <c r="F962" s="270">
        <v>10453</v>
      </c>
    </row>
    <row r="963" spans="2:6" ht="18" customHeight="1">
      <c r="B963" s="242">
        <f t="shared" si="62"/>
        <v>45885</v>
      </c>
      <c r="C963" s="123">
        <f t="shared" si="59"/>
        <v>2025</v>
      </c>
      <c r="D963" s="123">
        <f t="shared" si="60"/>
        <v>8</v>
      </c>
      <c r="E963" s="123">
        <f t="shared" si="61"/>
        <v>16</v>
      </c>
      <c r="F963" s="270">
        <v>6057</v>
      </c>
    </row>
    <row r="964" spans="2:6" ht="18" customHeight="1">
      <c r="B964" s="242">
        <f t="shared" si="62"/>
        <v>45886</v>
      </c>
      <c r="C964" s="123">
        <f t="shared" si="59"/>
        <v>2025</v>
      </c>
      <c r="D964" s="123">
        <f t="shared" si="60"/>
        <v>8</v>
      </c>
      <c r="E964" s="123">
        <f t="shared" si="61"/>
        <v>17</v>
      </c>
      <c r="F964" s="270">
        <v>10769</v>
      </c>
    </row>
    <row r="965" spans="2:6" ht="18" customHeight="1">
      <c r="B965" s="242">
        <f t="shared" si="62"/>
        <v>45887</v>
      </c>
      <c r="C965" s="123">
        <f t="shared" si="59"/>
        <v>2025</v>
      </c>
      <c r="D965" s="123">
        <f t="shared" si="60"/>
        <v>8</v>
      </c>
      <c r="E965" s="123">
        <f t="shared" si="61"/>
        <v>18</v>
      </c>
      <c r="F965" s="270">
        <v>10535</v>
      </c>
    </row>
    <row r="966" spans="2:6" ht="18" customHeight="1">
      <c r="B966" s="242">
        <f t="shared" si="62"/>
        <v>45888</v>
      </c>
      <c r="C966" s="123">
        <f t="shared" ref="C966:C1029" si="63">YEAR(B966)</f>
        <v>2025</v>
      </c>
      <c r="D966" s="123">
        <f t="shared" ref="D966:D1029" si="64">MONTH(B966)</f>
        <v>8</v>
      </c>
      <c r="E966" s="123">
        <f t="shared" ref="E966:E1029" si="65">DAY(B966)</f>
        <v>19</v>
      </c>
      <c r="F966" s="270">
        <v>7782</v>
      </c>
    </row>
    <row r="967" spans="2:6" ht="18" customHeight="1">
      <c r="B967" s="242">
        <f t="shared" si="62"/>
        <v>45889</v>
      </c>
      <c r="C967" s="123">
        <f t="shared" si="63"/>
        <v>2025</v>
      </c>
      <c r="D967" s="123">
        <f t="shared" si="64"/>
        <v>8</v>
      </c>
      <c r="E967" s="123">
        <f t="shared" si="65"/>
        <v>20</v>
      </c>
      <c r="F967" s="270">
        <v>2510</v>
      </c>
    </row>
    <row r="968" spans="2:6" ht="18" customHeight="1">
      <c r="B968" s="242">
        <f t="shared" si="62"/>
        <v>45890</v>
      </c>
      <c r="C968" s="123">
        <f t="shared" si="63"/>
        <v>2025</v>
      </c>
      <c r="D968" s="123">
        <f t="shared" si="64"/>
        <v>8</v>
      </c>
      <c r="E968" s="123">
        <f t="shared" si="65"/>
        <v>21</v>
      </c>
      <c r="F968" s="270">
        <v>10941</v>
      </c>
    </row>
    <row r="969" spans="2:6" ht="18" customHeight="1">
      <c r="B969" s="242">
        <f t="shared" si="62"/>
        <v>45891</v>
      </c>
      <c r="C969" s="123">
        <f t="shared" si="63"/>
        <v>2025</v>
      </c>
      <c r="D969" s="123">
        <f t="shared" si="64"/>
        <v>8</v>
      </c>
      <c r="E969" s="123">
        <f t="shared" si="65"/>
        <v>22</v>
      </c>
      <c r="F969" s="270">
        <v>10404</v>
      </c>
    </row>
    <row r="970" spans="2:6" ht="18" customHeight="1">
      <c r="B970" s="242">
        <f t="shared" si="62"/>
        <v>45892</v>
      </c>
      <c r="C970" s="123">
        <f t="shared" si="63"/>
        <v>2025</v>
      </c>
      <c r="D970" s="123">
        <f t="shared" si="64"/>
        <v>8</v>
      </c>
      <c r="E970" s="123">
        <f t="shared" si="65"/>
        <v>23</v>
      </c>
      <c r="F970" s="270">
        <v>10455</v>
      </c>
    </row>
    <row r="971" spans="2:6" ht="18" customHeight="1">
      <c r="B971" s="242">
        <f t="shared" si="62"/>
        <v>45893</v>
      </c>
      <c r="C971" s="123">
        <f t="shared" si="63"/>
        <v>2025</v>
      </c>
      <c r="D971" s="123">
        <f t="shared" si="64"/>
        <v>8</v>
      </c>
      <c r="E971" s="123">
        <f t="shared" si="65"/>
        <v>24</v>
      </c>
      <c r="F971" s="270">
        <v>2575</v>
      </c>
    </row>
    <row r="972" spans="2:6" ht="18" customHeight="1">
      <c r="B972" s="242">
        <f t="shared" si="62"/>
        <v>45894</v>
      </c>
      <c r="C972" s="123">
        <f t="shared" si="63"/>
        <v>2025</v>
      </c>
      <c r="D972" s="123">
        <f t="shared" si="64"/>
        <v>8</v>
      </c>
      <c r="E972" s="123">
        <f t="shared" si="65"/>
        <v>25</v>
      </c>
      <c r="F972" s="270">
        <v>11119</v>
      </c>
    </row>
    <row r="973" spans="2:6" ht="18" customHeight="1">
      <c r="B973" s="242">
        <f t="shared" si="62"/>
        <v>45895</v>
      </c>
      <c r="C973" s="123">
        <f t="shared" si="63"/>
        <v>2025</v>
      </c>
      <c r="D973" s="123">
        <f t="shared" si="64"/>
        <v>8</v>
      </c>
      <c r="E973" s="123">
        <f t="shared" si="65"/>
        <v>26</v>
      </c>
      <c r="F973" s="270">
        <v>11160</v>
      </c>
    </row>
    <row r="974" spans="2:6" ht="18" customHeight="1">
      <c r="B974" s="242">
        <f t="shared" si="62"/>
        <v>45896</v>
      </c>
      <c r="C974" s="123">
        <f t="shared" si="63"/>
        <v>2025</v>
      </c>
      <c r="D974" s="123">
        <f t="shared" si="64"/>
        <v>8</v>
      </c>
      <c r="E974" s="123">
        <f t="shared" si="65"/>
        <v>27</v>
      </c>
      <c r="F974" s="270">
        <v>9820</v>
      </c>
    </row>
    <row r="975" spans="2:6" ht="18" customHeight="1">
      <c r="B975" s="242">
        <f t="shared" si="62"/>
        <v>45897</v>
      </c>
      <c r="C975" s="123">
        <f t="shared" si="63"/>
        <v>2025</v>
      </c>
      <c r="D975" s="123">
        <f t="shared" si="64"/>
        <v>8</v>
      </c>
      <c r="E975" s="123">
        <f t="shared" si="65"/>
        <v>28</v>
      </c>
      <c r="F975" s="270">
        <v>4082</v>
      </c>
    </row>
    <row r="976" spans="2:6" ht="18" customHeight="1">
      <c r="B976" s="242">
        <f t="shared" si="62"/>
        <v>45898</v>
      </c>
      <c r="C976" s="123">
        <f t="shared" si="63"/>
        <v>2025</v>
      </c>
      <c r="D976" s="123">
        <f t="shared" si="64"/>
        <v>8</v>
      </c>
      <c r="E976" s="123">
        <f t="shared" si="65"/>
        <v>29</v>
      </c>
      <c r="F976" s="270">
        <v>8632</v>
      </c>
    </row>
    <row r="977" spans="2:6" ht="18" customHeight="1">
      <c r="B977" s="242">
        <f t="shared" si="62"/>
        <v>45899</v>
      </c>
      <c r="C977" s="123">
        <f t="shared" si="63"/>
        <v>2025</v>
      </c>
      <c r="D977" s="123">
        <f t="shared" si="64"/>
        <v>8</v>
      </c>
      <c r="E977" s="123">
        <f t="shared" si="65"/>
        <v>30</v>
      </c>
      <c r="F977" s="270">
        <v>10639</v>
      </c>
    </row>
    <row r="978" spans="2:6" ht="18" customHeight="1">
      <c r="B978" s="242">
        <f t="shared" si="62"/>
        <v>45900</v>
      </c>
      <c r="C978" s="123">
        <f t="shared" si="63"/>
        <v>2025</v>
      </c>
      <c r="D978" s="123">
        <f t="shared" si="64"/>
        <v>8</v>
      </c>
      <c r="E978" s="123">
        <f t="shared" si="65"/>
        <v>31</v>
      </c>
      <c r="F978" s="270">
        <v>1807</v>
      </c>
    </row>
    <row r="979" spans="2:6" ht="18" customHeight="1">
      <c r="B979" s="242">
        <f t="shared" si="62"/>
        <v>45901</v>
      </c>
      <c r="C979" s="123">
        <f t="shared" si="63"/>
        <v>2025</v>
      </c>
      <c r="D979" s="123">
        <f t="shared" si="64"/>
        <v>9</v>
      </c>
      <c r="E979" s="123">
        <f t="shared" si="65"/>
        <v>1</v>
      </c>
      <c r="F979" s="270">
        <v>6323</v>
      </c>
    </row>
    <row r="980" spans="2:6" ht="18" customHeight="1">
      <c r="B980" s="242">
        <f t="shared" si="62"/>
        <v>45902</v>
      </c>
      <c r="C980" s="123">
        <f t="shared" si="63"/>
        <v>2025</v>
      </c>
      <c r="D980" s="123">
        <f t="shared" si="64"/>
        <v>9</v>
      </c>
      <c r="E980" s="123">
        <f t="shared" si="65"/>
        <v>2</v>
      </c>
      <c r="F980" s="270">
        <v>10032</v>
      </c>
    </row>
    <row r="981" spans="2:6" ht="18" customHeight="1">
      <c r="B981" s="242">
        <f t="shared" si="62"/>
        <v>45903</v>
      </c>
      <c r="C981" s="123">
        <f t="shared" si="63"/>
        <v>2025</v>
      </c>
      <c r="D981" s="123">
        <f t="shared" si="64"/>
        <v>9</v>
      </c>
      <c r="E981" s="123">
        <f t="shared" si="65"/>
        <v>3</v>
      </c>
      <c r="F981" s="270">
        <v>4269</v>
      </c>
    </row>
    <row r="982" spans="2:6" ht="18" customHeight="1">
      <c r="B982" s="242">
        <f t="shared" si="62"/>
        <v>45904</v>
      </c>
      <c r="C982" s="123">
        <f t="shared" si="63"/>
        <v>2025</v>
      </c>
      <c r="D982" s="123">
        <f t="shared" si="64"/>
        <v>9</v>
      </c>
      <c r="E982" s="123">
        <f t="shared" si="65"/>
        <v>4</v>
      </c>
      <c r="F982" s="270">
        <v>4790</v>
      </c>
    </row>
    <row r="983" spans="2:6" ht="18" customHeight="1">
      <c r="B983" s="242">
        <f t="shared" si="62"/>
        <v>45905</v>
      </c>
      <c r="C983" s="123">
        <f t="shared" si="63"/>
        <v>2025</v>
      </c>
      <c r="D983" s="123">
        <f t="shared" si="64"/>
        <v>9</v>
      </c>
      <c r="E983" s="123">
        <f t="shared" si="65"/>
        <v>5</v>
      </c>
      <c r="F983" s="270">
        <v>8449</v>
      </c>
    </row>
    <row r="984" spans="2:6" ht="18" customHeight="1">
      <c r="B984" s="242">
        <f t="shared" si="62"/>
        <v>45906</v>
      </c>
      <c r="C984" s="123">
        <f t="shared" si="63"/>
        <v>2025</v>
      </c>
      <c r="D984" s="123">
        <f t="shared" si="64"/>
        <v>9</v>
      </c>
      <c r="E984" s="123">
        <f t="shared" si="65"/>
        <v>6</v>
      </c>
      <c r="F984" s="270">
        <v>6540</v>
      </c>
    </row>
    <row r="985" spans="2:6" ht="18" customHeight="1">
      <c r="B985" s="242">
        <f t="shared" si="62"/>
        <v>45907</v>
      </c>
      <c r="C985" s="123">
        <f t="shared" si="63"/>
        <v>2025</v>
      </c>
      <c r="D985" s="123">
        <f t="shared" si="64"/>
        <v>9</v>
      </c>
      <c r="E985" s="123">
        <f t="shared" si="65"/>
        <v>7</v>
      </c>
      <c r="F985" s="270">
        <v>3882</v>
      </c>
    </row>
    <row r="986" spans="2:6" ht="18" customHeight="1">
      <c r="B986" s="242">
        <f t="shared" si="62"/>
        <v>45908</v>
      </c>
      <c r="C986" s="123">
        <f t="shared" si="63"/>
        <v>2025</v>
      </c>
      <c r="D986" s="123">
        <f t="shared" si="64"/>
        <v>9</v>
      </c>
      <c r="E986" s="123">
        <f t="shared" si="65"/>
        <v>8</v>
      </c>
      <c r="F986" s="270">
        <v>4424</v>
      </c>
    </row>
    <row r="987" spans="2:6" ht="18" customHeight="1">
      <c r="B987" s="242">
        <f t="shared" si="62"/>
        <v>45909</v>
      </c>
      <c r="C987" s="123">
        <f t="shared" si="63"/>
        <v>2025</v>
      </c>
      <c r="D987" s="123">
        <f t="shared" si="64"/>
        <v>9</v>
      </c>
      <c r="E987" s="123">
        <f t="shared" si="65"/>
        <v>9</v>
      </c>
      <c r="F987" s="270">
        <v>5834</v>
      </c>
    </row>
    <row r="988" spans="2:6" ht="18" customHeight="1">
      <c r="B988" s="242">
        <f t="shared" si="62"/>
        <v>45910</v>
      </c>
      <c r="C988" s="123">
        <f t="shared" si="63"/>
        <v>2025</v>
      </c>
      <c r="D988" s="123">
        <f t="shared" si="64"/>
        <v>9</v>
      </c>
      <c r="E988" s="123">
        <f t="shared" si="65"/>
        <v>10</v>
      </c>
      <c r="F988" s="270">
        <v>5439</v>
      </c>
    </row>
    <row r="989" spans="2:6" ht="18" customHeight="1">
      <c r="B989" s="242">
        <f t="shared" si="62"/>
        <v>45911</v>
      </c>
      <c r="C989" s="123">
        <f t="shared" si="63"/>
        <v>2025</v>
      </c>
      <c r="D989" s="123">
        <f t="shared" si="64"/>
        <v>9</v>
      </c>
      <c r="E989" s="123">
        <f t="shared" si="65"/>
        <v>11</v>
      </c>
      <c r="F989" s="270">
        <v>6255</v>
      </c>
    </row>
    <row r="990" spans="2:6" ht="18" customHeight="1">
      <c r="B990" s="242">
        <f t="shared" si="62"/>
        <v>45912</v>
      </c>
      <c r="C990" s="123">
        <f t="shared" si="63"/>
        <v>2025</v>
      </c>
      <c r="D990" s="123">
        <f t="shared" si="64"/>
        <v>9</v>
      </c>
      <c r="E990" s="123">
        <f t="shared" si="65"/>
        <v>12</v>
      </c>
      <c r="F990" s="270">
        <v>11105</v>
      </c>
    </row>
    <row r="991" spans="2:6" ht="18" customHeight="1">
      <c r="B991" s="242">
        <f t="shared" si="62"/>
        <v>45913</v>
      </c>
      <c r="C991" s="123">
        <f t="shared" si="63"/>
        <v>2025</v>
      </c>
      <c r="D991" s="123">
        <f t="shared" si="64"/>
        <v>9</v>
      </c>
      <c r="E991" s="123">
        <f t="shared" si="65"/>
        <v>13</v>
      </c>
      <c r="F991" s="270">
        <v>10198</v>
      </c>
    </row>
    <row r="992" spans="2:6" ht="18" customHeight="1">
      <c r="B992" s="242">
        <f t="shared" si="62"/>
        <v>45914</v>
      </c>
      <c r="C992" s="123">
        <f t="shared" si="63"/>
        <v>2025</v>
      </c>
      <c r="D992" s="123">
        <f t="shared" si="64"/>
        <v>9</v>
      </c>
      <c r="E992" s="123">
        <f t="shared" si="65"/>
        <v>14</v>
      </c>
      <c r="F992" s="270">
        <v>4221</v>
      </c>
    </row>
    <row r="993" spans="2:6" ht="18" customHeight="1">
      <c r="B993" s="242">
        <f t="shared" si="62"/>
        <v>45915</v>
      </c>
      <c r="C993" s="123">
        <f t="shared" si="63"/>
        <v>2025</v>
      </c>
      <c r="D993" s="123">
        <f t="shared" si="64"/>
        <v>9</v>
      </c>
      <c r="E993" s="123">
        <f t="shared" si="65"/>
        <v>15</v>
      </c>
      <c r="F993" s="270">
        <v>5521</v>
      </c>
    </row>
    <row r="994" spans="2:6" ht="18" customHeight="1">
      <c r="B994" s="242">
        <f t="shared" si="62"/>
        <v>45916</v>
      </c>
      <c r="C994" s="123">
        <f t="shared" si="63"/>
        <v>2025</v>
      </c>
      <c r="D994" s="123">
        <f t="shared" si="64"/>
        <v>9</v>
      </c>
      <c r="E994" s="123">
        <f t="shared" si="65"/>
        <v>16</v>
      </c>
      <c r="F994" s="270">
        <v>7538</v>
      </c>
    </row>
    <row r="995" spans="2:6" ht="18" customHeight="1">
      <c r="B995" s="242">
        <f t="shared" si="62"/>
        <v>45917</v>
      </c>
      <c r="C995" s="123">
        <f t="shared" si="63"/>
        <v>2025</v>
      </c>
      <c r="D995" s="123">
        <f t="shared" si="64"/>
        <v>9</v>
      </c>
      <c r="E995" s="123">
        <f t="shared" si="65"/>
        <v>17</v>
      </c>
      <c r="F995" s="270">
        <v>4498</v>
      </c>
    </row>
    <row r="996" spans="2:6" ht="18" customHeight="1">
      <c r="B996" s="242">
        <f t="shared" si="62"/>
        <v>45918</v>
      </c>
      <c r="C996" s="123">
        <f t="shared" si="63"/>
        <v>2025</v>
      </c>
      <c r="D996" s="123">
        <f t="shared" si="64"/>
        <v>9</v>
      </c>
      <c r="E996" s="123">
        <f t="shared" si="65"/>
        <v>18</v>
      </c>
      <c r="F996" s="270">
        <v>6204</v>
      </c>
    </row>
    <row r="997" spans="2:6" ht="18" customHeight="1">
      <c r="B997" s="242">
        <f t="shared" si="62"/>
        <v>45919</v>
      </c>
      <c r="C997" s="123">
        <f t="shared" si="63"/>
        <v>2025</v>
      </c>
      <c r="D997" s="123">
        <f t="shared" si="64"/>
        <v>9</v>
      </c>
      <c r="E997" s="123">
        <f t="shared" si="65"/>
        <v>19</v>
      </c>
      <c r="F997" s="270">
        <v>1984</v>
      </c>
    </row>
    <row r="998" spans="2:6" ht="18" customHeight="1">
      <c r="B998" s="242">
        <f t="shared" si="62"/>
        <v>45920</v>
      </c>
      <c r="C998" s="123">
        <f t="shared" si="63"/>
        <v>2025</v>
      </c>
      <c r="D998" s="123">
        <f t="shared" si="64"/>
        <v>9</v>
      </c>
      <c r="E998" s="123">
        <f t="shared" si="65"/>
        <v>20</v>
      </c>
      <c r="F998" s="270">
        <v>4056</v>
      </c>
    </row>
    <row r="999" spans="2:6" ht="18" customHeight="1">
      <c r="B999" s="242">
        <f t="shared" si="62"/>
        <v>45921</v>
      </c>
      <c r="C999" s="123">
        <f t="shared" si="63"/>
        <v>2025</v>
      </c>
      <c r="D999" s="123">
        <f t="shared" si="64"/>
        <v>9</v>
      </c>
      <c r="E999" s="123">
        <f t="shared" si="65"/>
        <v>21</v>
      </c>
      <c r="F999" s="270">
        <v>1882</v>
      </c>
    </row>
    <row r="1000" spans="2:6" ht="18" customHeight="1">
      <c r="B1000" s="242">
        <f t="shared" si="62"/>
        <v>45922</v>
      </c>
      <c r="C1000" s="123">
        <f t="shared" si="63"/>
        <v>2025</v>
      </c>
      <c r="D1000" s="123">
        <f t="shared" si="64"/>
        <v>9</v>
      </c>
      <c r="E1000" s="123">
        <f t="shared" si="65"/>
        <v>22</v>
      </c>
      <c r="F1000" s="270">
        <v>7209</v>
      </c>
    </row>
    <row r="1001" spans="2:6" ht="18" customHeight="1">
      <c r="B1001" s="242">
        <f t="shared" si="62"/>
        <v>45923</v>
      </c>
      <c r="C1001" s="123">
        <f t="shared" si="63"/>
        <v>2025</v>
      </c>
      <c r="D1001" s="123">
        <f t="shared" si="64"/>
        <v>9</v>
      </c>
      <c r="E1001" s="123">
        <f t="shared" si="65"/>
        <v>23</v>
      </c>
      <c r="F1001" s="270">
        <v>10200</v>
      </c>
    </row>
    <row r="1002" spans="2:6" ht="18" customHeight="1">
      <c r="B1002" s="242">
        <f t="shared" si="62"/>
        <v>45924</v>
      </c>
      <c r="C1002" s="123">
        <f t="shared" si="63"/>
        <v>2025</v>
      </c>
      <c r="D1002" s="123">
        <f t="shared" si="64"/>
        <v>9</v>
      </c>
      <c r="E1002" s="123">
        <f t="shared" si="65"/>
        <v>24</v>
      </c>
      <c r="F1002" s="270">
        <v>6926</v>
      </c>
    </row>
    <row r="1003" spans="2:6" ht="18" customHeight="1">
      <c r="B1003" s="242">
        <f t="shared" si="62"/>
        <v>45925</v>
      </c>
      <c r="C1003" s="123">
        <f t="shared" si="63"/>
        <v>2025</v>
      </c>
      <c r="D1003" s="123">
        <f t="shared" si="64"/>
        <v>9</v>
      </c>
      <c r="E1003" s="123">
        <f t="shared" si="65"/>
        <v>25</v>
      </c>
      <c r="F1003" s="270">
        <v>8069</v>
      </c>
    </row>
    <row r="1004" spans="2:6" ht="18" customHeight="1">
      <c r="B1004" s="242">
        <f t="shared" si="62"/>
        <v>45926</v>
      </c>
      <c r="C1004" s="123">
        <f t="shared" si="63"/>
        <v>2025</v>
      </c>
      <c r="D1004" s="123">
        <f t="shared" si="64"/>
        <v>9</v>
      </c>
      <c r="E1004" s="123">
        <f t="shared" si="65"/>
        <v>26</v>
      </c>
      <c r="F1004" s="270">
        <v>3219</v>
      </c>
    </row>
    <row r="1005" spans="2:6" ht="18" customHeight="1">
      <c r="B1005" s="242">
        <f t="shared" si="62"/>
        <v>45927</v>
      </c>
      <c r="C1005" s="123">
        <f t="shared" si="63"/>
        <v>2025</v>
      </c>
      <c r="D1005" s="123">
        <f t="shared" si="64"/>
        <v>9</v>
      </c>
      <c r="E1005" s="123">
        <f t="shared" si="65"/>
        <v>27</v>
      </c>
      <c r="F1005" s="270">
        <v>2257</v>
      </c>
    </row>
    <row r="1006" spans="2:6" ht="18" customHeight="1">
      <c r="B1006" s="242">
        <f t="shared" si="62"/>
        <v>45928</v>
      </c>
      <c r="C1006" s="123">
        <f t="shared" si="63"/>
        <v>2025</v>
      </c>
      <c r="D1006" s="123">
        <f t="shared" si="64"/>
        <v>9</v>
      </c>
      <c r="E1006" s="123">
        <f t="shared" si="65"/>
        <v>28</v>
      </c>
      <c r="F1006" s="270">
        <v>1790</v>
      </c>
    </row>
    <row r="1007" spans="2:6" ht="18" customHeight="1">
      <c r="B1007" s="242">
        <f t="shared" si="62"/>
        <v>45929</v>
      </c>
      <c r="C1007" s="123">
        <f t="shared" si="63"/>
        <v>2025</v>
      </c>
      <c r="D1007" s="123">
        <f t="shared" si="64"/>
        <v>9</v>
      </c>
      <c r="E1007" s="123">
        <f t="shared" si="65"/>
        <v>29</v>
      </c>
      <c r="F1007" s="270">
        <v>10667</v>
      </c>
    </row>
    <row r="1008" spans="2:6" ht="18" customHeight="1">
      <c r="B1008" s="242">
        <f t="shared" si="62"/>
        <v>45930</v>
      </c>
      <c r="C1008" s="123">
        <f t="shared" si="63"/>
        <v>2025</v>
      </c>
      <c r="D1008" s="123">
        <f t="shared" si="64"/>
        <v>9</v>
      </c>
      <c r="E1008" s="123">
        <f t="shared" si="65"/>
        <v>30</v>
      </c>
      <c r="F1008" s="270">
        <v>7016</v>
      </c>
    </row>
    <row r="1009" spans="2:6" ht="18" customHeight="1">
      <c r="B1009" s="242">
        <f t="shared" si="62"/>
        <v>45931</v>
      </c>
      <c r="C1009" s="123">
        <f t="shared" si="63"/>
        <v>2025</v>
      </c>
      <c r="D1009" s="123">
        <f t="shared" si="64"/>
        <v>10</v>
      </c>
      <c r="E1009" s="123">
        <f t="shared" si="65"/>
        <v>1</v>
      </c>
      <c r="F1009" s="270">
        <v>1501</v>
      </c>
    </row>
    <row r="1010" spans="2:6" ht="18" customHeight="1">
      <c r="B1010" s="242">
        <f t="shared" si="62"/>
        <v>45932</v>
      </c>
      <c r="C1010" s="123">
        <f t="shared" si="63"/>
        <v>2025</v>
      </c>
      <c r="D1010" s="123">
        <f t="shared" si="64"/>
        <v>10</v>
      </c>
      <c r="E1010" s="123">
        <f t="shared" si="65"/>
        <v>2</v>
      </c>
      <c r="F1010" s="270">
        <v>3083</v>
      </c>
    </row>
    <row r="1011" spans="2:6" ht="18" customHeight="1">
      <c r="B1011" s="242">
        <f t="shared" si="62"/>
        <v>45933</v>
      </c>
      <c r="C1011" s="123">
        <f t="shared" si="63"/>
        <v>2025</v>
      </c>
      <c r="D1011" s="123">
        <f t="shared" si="64"/>
        <v>10</v>
      </c>
      <c r="E1011" s="123">
        <f t="shared" si="65"/>
        <v>3</v>
      </c>
      <c r="F1011" s="270">
        <v>1457</v>
      </c>
    </row>
    <row r="1012" spans="2:6" ht="18" customHeight="1">
      <c r="B1012" s="242">
        <f t="shared" ref="B1012:B1075" si="66">+B1011+1</f>
        <v>45934</v>
      </c>
      <c r="C1012" s="123">
        <f t="shared" si="63"/>
        <v>2025</v>
      </c>
      <c r="D1012" s="123">
        <f t="shared" si="64"/>
        <v>10</v>
      </c>
      <c r="E1012" s="123">
        <f t="shared" si="65"/>
        <v>4</v>
      </c>
      <c r="F1012" s="270">
        <v>8726</v>
      </c>
    </row>
    <row r="1013" spans="2:6" ht="18" customHeight="1">
      <c r="B1013" s="242">
        <f t="shared" si="66"/>
        <v>45935</v>
      </c>
      <c r="C1013" s="123">
        <f t="shared" si="63"/>
        <v>2025</v>
      </c>
      <c r="D1013" s="123">
        <f t="shared" si="64"/>
        <v>10</v>
      </c>
      <c r="E1013" s="123">
        <f t="shared" si="65"/>
        <v>5</v>
      </c>
      <c r="F1013" s="270">
        <v>9679</v>
      </c>
    </row>
    <row r="1014" spans="2:6" ht="18" customHeight="1">
      <c r="B1014" s="242">
        <f t="shared" si="66"/>
        <v>45936</v>
      </c>
      <c r="C1014" s="123">
        <f t="shared" si="63"/>
        <v>2025</v>
      </c>
      <c r="D1014" s="123">
        <f t="shared" si="64"/>
        <v>10</v>
      </c>
      <c r="E1014" s="123">
        <f t="shared" si="65"/>
        <v>6</v>
      </c>
      <c r="F1014" s="270">
        <v>7015</v>
      </c>
    </row>
    <row r="1015" spans="2:6" ht="18" customHeight="1">
      <c r="B1015" s="242">
        <f t="shared" si="66"/>
        <v>45937</v>
      </c>
      <c r="C1015" s="123">
        <f t="shared" si="63"/>
        <v>2025</v>
      </c>
      <c r="D1015" s="123">
        <f t="shared" si="64"/>
        <v>10</v>
      </c>
      <c r="E1015" s="123">
        <f t="shared" si="65"/>
        <v>7</v>
      </c>
      <c r="F1015" s="270">
        <v>4499</v>
      </c>
    </row>
    <row r="1016" spans="2:6" ht="18" customHeight="1">
      <c r="B1016" s="242">
        <f t="shared" si="66"/>
        <v>45938</v>
      </c>
      <c r="C1016" s="123">
        <f t="shared" si="63"/>
        <v>2025</v>
      </c>
      <c r="D1016" s="123">
        <f t="shared" si="64"/>
        <v>10</v>
      </c>
      <c r="E1016" s="123">
        <f t="shared" si="65"/>
        <v>8</v>
      </c>
      <c r="F1016" s="270">
        <v>10683</v>
      </c>
    </row>
    <row r="1017" spans="2:6" ht="18" customHeight="1">
      <c r="B1017" s="242">
        <f t="shared" si="66"/>
        <v>45939</v>
      </c>
      <c r="C1017" s="123">
        <f t="shared" si="63"/>
        <v>2025</v>
      </c>
      <c r="D1017" s="123">
        <f t="shared" si="64"/>
        <v>10</v>
      </c>
      <c r="E1017" s="123">
        <f t="shared" si="65"/>
        <v>9</v>
      </c>
      <c r="F1017" s="270">
        <v>7157</v>
      </c>
    </row>
    <row r="1018" spans="2:6" ht="18" customHeight="1">
      <c r="B1018" s="242">
        <f t="shared" si="66"/>
        <v>45940</v>
      </c>
      <c r="C1018" s="123">
        <f t="shared" si="63"/>
        <v>2025</v>
      </c>
      <c r="D1018" s="123">
        <f t="shared" si="64"/>
        <v>10</v>
      </c>
      <c r="E1018" s="123">
        <f t="shared" si="65"/>
        <v>10</v>
      </c>
      <c r="F1018" s="270">
        <v>7103</v>
      </c>
    </row>
    <row r="1019" spans="2:6" ht="18" customHeight="1">
      <c r="B1019" s="242">
        <f t="shared" si="66"/>
        <v>45941</v>
      </c>
      <c r="C1019" s="123">
        <f t="shared" si="63"/>
        <v>2025</v>
      </c>
      <c r="D1019" s="123">
        <f t="shared" si="64"/>
        <v>10</v>
      </c>
      <c r="E1019" s="123">
        <f t="shared" si="65"/>
        <v>11</v>
      </c>
      <c r="F1019" s="270">
        <v>2513</v>
      </c>
    </row>
    <row r="1020" spans="2:6" ht="18" customHeight="1">
      <c r="B1020" s="242">
        <f t="shared" si="66"/>
        <v>45942</v>
      </c>
      <c r="C1020" s="123">
        <f t="shared" si="63"/>
        <v>2025</v>
      </c>
      <c r="D1020" s="123">
        <f t="shared" si="64"/>
        <v>10</v>
      </c>
      <c r="E1020" s="123">
        <f t="shared" si="65"/>
        <v>12</v>
      </c>
      <c r="F1020" s="270">
        <v>2151</v>
      </c>
    </row>
    <row r="1021" spans="2:6" ht="18" customHeight="1">
      <c r="B1021" s="242">
        <f t="shared" si="66"/>
        <v>45943</v>
      </c>
      <c r="C1021" s="123">
        <f t="shared" si="63"/>
        <v>2025</v>
      </c>
      <c r="D1021" s="123">
        <f t="shared" si="64"/>
        <v>10</v>
      </c>
      <c r="E1021" s="123">
        <f t="shared" si="65"/>
        <v>13</v>
      </c>
      <c r="F1021" s="270">
        <v>5811</v>
      </c>
    </row>
    <row r="1022" spans="2:6" ht="18" customHeight="1">
      <c r="B1022" s="242">
        <f t="shared" si="66"/>
        <v>45944</v>
      </c>
      <c r="C1022" s="123">
        <f t="shared" si="63"/>
        <v>2025</v>
      </c>
      <c r="D1022" s="123">
        <f t="shared" si="64"/>
        <v>10</v>
      </c>
      <c r="E1022" s="123">
        <f t="shared" si="65"/>
        <v>14</v>
      </c>
      <c r="F1022" s="270">
        <v>8672</v>
      </c>
    </row>
    <row r="1023" spans="2:6" ht="18" customHeight="1">
      <c r="B1023" s="242">
        <f t="shared" si="66"/>
        <v>45945</v>
      </c>
      <c r="C1023" s="123">
        <f t="shared" si="63"/>
        <v>2025</v>
      </c>
      <c r="D1023" s="123">
        <f t="shared" si="64"/>
        <v>10</v>
      </c>
      <c r="E1023" s="123">
        <f t="shared" si="65"/>
        <v>15</v>
      </c>
      <c r="F1023" s="270">
        <v>1299</v>
      </c>
    </row>
    <row r="1024" spans="2:6" ht="18" customHeight="1">
      <c r="B1024" s="242">
        <f t="shared" si="66"/>
        <v>45946</v>
      </c>
      <c r="C1024" s="123">
        <f t="shared" si="63"/>
        <v>2025</v>
      </c>
      <c r="D1024" s="123">
        <f t="shared" si="64"/>
        <v>10</v>
      </c>
      <c r="E1024" s="123">
        <f t="shared" si="65"/>
        <v>16</v>
      </c>
      <c r="F1024" s="270">
        <v>6956</v>
      </c>
    </row>
    <row r="1025" spans="2:6" ht="18" customHeight="1">
      <c r="B1025" s="242">
        <f t="shared" si="66"/>
        <v>45947</v>
      </c>
      <c r="C1025" s="123">
        <f t="shared" si="63"/>
        <v>2025</v>
      </c>
      <c r="D1025" s="123">
        <f t="shared" si="64"/>
        <v>10</v>
      </c>
      <c r="E1025" s="123">
        <f t="shared" si="65"/>
        <v>17</v>
      </c>
      <c r="F1025" s="270">
        <v>9596</v>
      </c>
    </row>
    <row r="1026" spans="2:6" ht="18" customHeight="1">
      <c r="B1026" s="242">
        <f t="shared" si="66"/>
        <v>45948</v>
      </c>
      <c r="C1026" s="123">
        <f t="shared" si="63"/>
        <v>2025</v>
      </c>
      <c r="D1026" s="123">
        <f t="shared" si="64"/>
        <v>10</v>
      </c>
      <c r="E1026" s="123">
        <f t="shared" si="65"/>
        <v>18</v>
      </c>
      <c r="F1026" s="270">
        <v>6700</v>
      </c>
    </row>
    <row r="1027" spans="2:6" ht="18" customHeight="1">
      <c r="B1027" s="242">
        <f t="shared" si="66"/>
        <v>45949</v>
      </c>
      <c r="C1027" s="123">
        <f t="shared" si="63"/>
        <v>2025</v>
      </c>
      <c r="D1027" s="123">
        <f t="shared" si="64"/>
        <v>10</v>
      </c>
      <c r="E1027" s="123">
        <f t="shared" si="65"/>
        <v>19</v>
      </c>
      <c r="F1027" s="270">
        <v>8254</v>
      </c>
    </row>
    <row r="1028" spans="2:6" ht="18" customHeight="1">
      <c r="B1028" s="242">
        <f t="shared" si="66"/>
        <v>45950</v>
      </c>
      <c r="C1028" s="123">
        <f t="shared" si="63"/>
        <v>2025</v>
      </c>
      <c r="D1028" s="123">
        <f t="shared" si="64"/>
        <v>10</v>
      </c>
      <c r="E1028" s="123">
        <f t="shared" si="65"/>
        <v>20</v>
      </c>
      <c r="F1028" s="270">
        <v>10219</v>
      </c>
    </row>
    <row r="1029" spans="2:6" ht="18" customHeight="1">
      <c r="B1029" s="242">
        <f t="shared" si="66"/>
        <v>45951</v>
      </c>
      <c r="C1029" s="123">
        <f t="shared" si="63"/>
        <v>2025</v>
      </c>
      <c r="D1029" s="123">
        <f t="shared" si="64"/>
        <v>10</v>
      </c>
      <c r="E1029" s="123">
        <f t="shared" si="65"/>
        <v>21</v>
      </c>
      <c r="F1029" s="270">
        <v>4722</v>
      </c>
    </row>
    <row r="1030" spans="2:6" ht="18" customHeight="1">
      <c r="B1030" s="242">
        <f t="shared" si="66"/>
        <v>45952</v>
      </c>
      <c r="C1030" s="123">
        <f t="shared" ref="C1030:C1093" si="67">YEAR(B1030)</f>
        <v>2025</v>
      </c>
      <c r="D1030" s="123">
        <f t="shared" ref="D1030:D1093" si="68">MONTH(B1030)</f>
        <v>10</v>
      </c>
      <c r="E1030" s="123">
        <f t="shared" ref="E1030:E1093" si="69">DAY(B1030)</f>
        <v>22</v>
      </c>
      <c r="F1030" s="270">
        <v>6858</v>
      </c>
    </row>
    <row r="1031" spans="2:6" ht="18" customHeight="1">
      <c r="B1031" s="242">
        <f t="shared" si="66"/>
        <v>45953</v>
      </c>
      <c r="C1031" s="123">
        <f t="shared" si="67"/>
        <v>2025</v>
      </c>
      <c r="D1031" s="123">
        <f t="shared" si="68"/>
        <v>10</v>
      </c>
      <c r="E1031" s="123">
        <f t="shared" si="69"/>
        <v>23</v>
      </c>
      <c r="F1031" s="270">
        <v>7480</v>
      </c>
    </row>
    <row r="1032" spans="2:6" ht="18" customHeight="1">
      <c r="B1032" s="242">
        <f t="shared" si="66"/>
        <v>45954</v>
      </c>
      <c r="C1032" s="123">
        <f t="shared" si="67"/>
        <v>2025</v>
      </c>
      <c r="D1032" s="123">
        <f t="shared" si="68"/>
        <v>10</v>
      </c>
      <c r="E1032" s="123">
        <f t="shared" si="69"/>
        <v>24</v>
      </c>
      <c r="F1032" s="270">
        <v>9637</v>
      </c>
    </row>
    <row r="1033" spans="2:6" ht="18" customHeight="1">
      <c r="B1033" s="242">
        <f t="shared" si="66"/>
        <v>45955</v>
      </c>
      <c r="C1033" s="123">
        <f t="shared" si="67"/>
        <v>2025</v>
      </c>
      <c r="D1033" s="123">
        <f t="shared" si="68"/>
        <v>10</v>
      </c>
      <c r="E1033" s="123">
        <f t="shared" si="69"/>
        <v>25</v>
      </c>
      <c r="F1033" s="270">
        <v>2110</v>
      </c>
    </row>
    <row r="1034" spans="2:6" ht="18" customHeight="1">
      <c r="B1034" s="242">
        <f t="shared" si="66"/>
        <v>45956</v>
      </c>
      <c r="C1034" s="123">
        <f t="shared" si="67"/>
        <v>2025</v>
      </c>
      <c r="D1034" s="123">
        <f t="shared" si="68"/>
        <v>10</v>
      </c>
      <c r="E1034" s="123">
        <f t="shared" si="69"/>
        <v>26</v>
      </c>
      <c r="F1034" s="270">
        <v>1921</v>
      </c>
    </row>
    <row r="1035" spans="2:6" ht="18" customHeight="1">
      <c r="B1035" s="242">
        <f t="shared" si="66"/>
        <v>45957</v>
      </c>
      <c r="C1035" s="123">
        <f t="shared" si="67"/>
        <v>2025</v>
      </c>
      <c r="D1035" s="123">
        <f t="shared" si="68"/>
        <v>10</v>
      </c>
      <c r="E1035" s="123">
        <f t="shared" si="69"/>
        <v>27</v>
      </c>
      <c r="F1035" s="270">
        <v>7399</v>
      </c>
    </row>
    <row r="1036" spans="2:6" ht="18" customHeight="1">
      <c r="B1036" s="242">
        <f t="shared" si="66"/>
        <v>45958</v>
      </c>
      <c r="C1036" s="123">
        <f t="shared" si="67"/>
        <v>2025</v>
      </c>
      <c r="D1036" s="123">
        <f t="shared" si="68"/>
        <v>10</v>
      </c>
      <c r="E1036" s="123">
        <f t="shared" si="69"/>
        <v>28</v>
      </c>
      <c r="F1036" s="270">
        <v>11147</v>
      </c>
    </row>
    <row r="1037" spans="2:6" ht="18" customHeight="1">
      <c r="B1037" s="242">
        <f t="shared" si="66"/>
        <v>45959</v>
      </c>
      <c r="C1037" s="123">
        <f t="shared" si="67"/>
        <v>2025</v>
      </c>
      <c r="D1037" s="123">
        <f t="shared" si="68"/>
        <v>10</v>
      </c>
      <c r="E1037" s="123">
        <f t="shared" si="69"/>
        <v>29</v>
      </c>
      <c r="F1037" s="270">
        <v>10998</v>
      </c>
    </row>
    <row r="1038" spans="2:6" ht="18" customHeight="1">
      <c r="B1038" s="242">
        <f t="shared" si="66"/>
        <v>45960</v>
      </c>
      <c r="C1038" s="123">
        <f t="shared" si="67"/>
        <v>2025</v>
      </c>
      <c r="D1038" s="123">
        <f t="shared" si="68"/>
        <v>10</v>
      </c>
      <c r="E1038" s="123">
        <f t="shared" si="69"/>
        <v>30</v>
      </c>
      <c r="F1038" s="270">
        <v>5923</v>
      </c>
    </row>
    <row r="1039" spans="2:6" ht="18" customHeight="1">
      <c r="B1039" s="242">
        <f t="shared" si="66"/>
        <v>45961</v>
      </c>
      <c r="C1039" s="123">
        <f t="shared" si="67"/>
        <v>2025</v>
      </c>
      <c r="D1039" s="123">
        <f t="shared" si="68"/>
        <v>10</v>
      </c>
      <c r="E1039" s="123">
        <f t="shared" si="69"/>
        <v>31</v>
      </c>
      <c r="F1039" s="270">
        <v>4665</v>
      </c>
    </row>
    <row r="1040" spans="2:6" ht="18" customHeight="1">
      <c r="B1040" s="242">
        <f t="shared" si="66"/>
        <v>45962</v>
      </c>
      <c r="C1040" s="123">
        <f t="shared" si="67"/>
        <v>2025</v>
      </c>
      <c r="D1040" s="123">
        <f t="shared" si="68"/>
        <v>11</v>
      </c>
      <c r="E1040" s="123">
        <f t="shared" si="69"/>
        <v>1</v>
      </c>
      <c r="F1040" s="270">
        <v>6356</v>
      </c>
    </row>
    <row r="1041" spans="2:6" ht="18" customHeight="1">
      <c r="B1041" s="242">
        <f t="shared" si="66"/>
        <v>45963</v>
      </c>
      <c r="C1041" s="123">
        <f t="shared" si="67"/>
        <v>2025</v>
      </c>
      <c r="D1041" s="123">
        <f t="shared" si="68"/>
        <v>11</v>
      </c>
      <c r="E1041" s="123">
        <f t="shared" si="69"/>
        <v>2</v>
      </c>
      <c r="F1041" s="270">
        <v>7141</v>
      </c>
    </row>
    <row r="1042" spans="2:6" ht="18" customHeight="1">
      <c r="B1042" s="242">
        <f t="shared" si="66"/>
        <v>45964</v>
      </c>
      <c r="C1042" s="123">
        <f t="shared" si="67"/>
        <v>2025</v>
      </c>
      <c r="D1042" s="123">
        <f t="shared" si="68"/>
        <v>11</v>
      </c>
      <c r="E1042" s="123">
        <f t="shared" si="69"/>
        <v>3</v>
      </c>
      <c r="F1042" s="270">
        <v>8270</v>
      </c>
    </row>
    <row r="1043" spans="2:6" ht="18" customHeight="1">
      <c r="B1043" s="242">
        <f t="shared" si="66"/>
        <v>45965</v>
      </c>
      <c r="C1043" s="123">
        <f t="shared" si="67"/>
        <v>2025</v>
      </c>
      <c r="D1043" s="123">
        <f t="shared" si="68"/>
        <v>11</v>
      </c>
      <c r="E1043" s="123">
        <f t="shared" si="69"/>
        <v>4</v>
      </c>
      <c r="F1043" s="270">
        <v>7814</v>
      </c>
    </row>
    <row r="1044" spans="2:6" ht="18" customHeight="1">
      <c r="B1044" s="242">
        <f t="shared" si="66"/>
        <v>45966</v>
      </c>
      <c r="C1044" s="123">
        <f t="shared" si="67"/>
        <v>2025</v>
      </c>
      <c r="D1044" s="123">
        <f t="shared" si="68"/>
        <v>11</v>
      </c>
      <c r="E1044" s="123">
        <f t="shared" si="69"/>
        <v>5</v>
      </c>
      <c r="F1044" s="270">
        <v>3845</v>
      </c>
    </row>
    <row r="1045" spans="2:6" ht="18" customHeight="1">
      <c r="B1045" s="242">
        <f t="shared" si="66"/>
        <v>45967</v>
      </c>
      <c r="C1045" s="123">
        <f t="shared" si="67"/>
        <v>2025</v>
      </c>
      <c r="D1045" s="123">
        <f t="shared" si="68"/>
        <v>11</v>
      </c>
      <c r="E1045" s="123">
        <f t="shared" si="69"/>
        <v>6</v>
      </c>
      <c r="F1045" s="270">
        <v>1835</v>
      </c>
    </row>
    <row r="1046" spans="2:6" ht="18" customHeight="1">
      <c r="B1046" s="242">
        <f t="shared" si="66"/>
        <v>45968</v>
      </c>
      <c r="C1046" s="123">
        <f t="shared" si="67"/>
        <v>2025</v>
      </c>
      <c r="D1046" s="123">
        <f t="shared" si="68"/>
        <v>11</v>
      </c>
      <c r="E1046" s="123">
        <f t="shared" si="69"/>
        <v>7</v>
      </c>
      <c r="F1046" s="270">
        <v>5806</v>
      </c>
    </row>
    <row r="1047" spans="2:6" ht="18" customHeight="1">
      <c r="B1047" s="242">
        <f t="shared" si="66"/>
        <v>45969</v>
      </c>
      <c r="C1047" s="123">
        <f t="shared" si="67"/>
        <v>2025</v>
      </c>
      <c r="D1047" s="123">
        <f t="shared" si="68"/>
        <v>11</v>
      </c>
      <c r="E1047" s="123">
        <f t="shared" si="69"/>
        <v>8</v>
      </c>
      <c r="F1047" s="270">
        <v>7420</v>
      </c>
    </row>
    <row r="1048" spans="2:6" ht="18" customHeight="1">
      <c r="B1048" s="242">
        <f t="shared" si="66"/>
        <v>45970</v>
      </c>
      <c r="C1048" s="123">
        <f t="shared" si="67"/>
        <v>2025</v>
      </c>
      <c r="D1048" s="123">
        <f t="shared" si="68"/>
        <v>11</v>
      </c>
      <c r="E1048" s="123">
        <f t="shared" si="69"/>
        <v>9</v>
      </c>
      <c r="F1048" s="270">
        <v>5184</v>
      </c>
    </row>
    <row r="1049" spans="2:6" ht="18" customHeight="1">
      <c r="B1049" s="242">
        <f t="shared" si="66"/>
        <v>45971</v>
      </c>
      <c r="C1049" s="123">
        <f t="shared" si="67"/>
        <v>2025</v>
      </c>
      <c r="D1049" s="123">
        <f t="shared" si="68"/>
        <v>11</v>
      </c>
      <c r="E1049" s="123">
        <f t="shared" si="69"/>
        <v>10</v>
      </c>
      <c r="F1049" s="270">
        <v>4304</v>
      </c>
    </row>
    <row r="1050" spans="2:6" ht="18" customHeight="1">
      <c r="B1050" s="242">
        <f t="shared" si="66"/>
        <v>45972</v>
      </c>
      <c r="C1050" s="123">
        <f t="shared" si="67"/>
        <v>2025</v>
      </c>
      <c r="D1050" s="123">
        <f t="shared" si="68"/>
        <v>11</v>
      </c>
      <c r="E1050" s="123">
        <f t="shared" si="69"/>
        <v>11</v>
      </c>
      <c r="F1050" s="270">
        <v>1782</v>
      </c>
    </row>
    <row r="1051" spans="2:6" ht="18" customHeight="1">
      <c r="B1051" s="242">
        <f t="shared" si="66"/>
        <v>45973</v>
      </c>
      <c r="C1051" s="123">
        <f t="shared" si="67"/>
        <v>2025</v>
      </c>
      <c r="D1051" s="123">
        <f t="shared" si="68"/>
        <v>11</v>
      </c>
      <c r="E1051" s="123">
        <f t="shared" si="69"/>
        <v>12</v>
      </c>
      <c r="F1051" s="270">
        <v>4430</v>
      </c>
    </row>
    <row r="1052" spans="2:6" ht="18" customHeight="1">
      <c r="B1052" s="242">
        <f t="shared" si="66"/>
        <v>45974</v>
      </c>
      <c r="C1052" s="123">
        <f t="shared" si="67"/>
        <v>2025</v>
      </c>
      <c r="D1052" s="123">
        <f t="shared" si="68"/>
        <v>11</v>
      </c>
      <c r="E1052" s="123">
        <f t="shared" si="69"/>
        <v>13</v>
      </c>
      <c r="F1052" s="270">
        <v>3151</v>
      </c>
    </row>
    <row r="1053" spans="2:6" ht="18" customHeight="1">
      <c r="B1053" s="242">
        <f t="shared" si="66"/>
        <v>45975</v>
      </c>
      <c r="C1053" s="123">
        <f t="shared" si="67"/>
        <v>2025</v>
      </c>
      <c r="D1053" s="123">
        <f t="shared" si="68"/>
        <v>11</v>
      </c>
      <c r="E1053" s="123">
        <f t="shared" si="69"/>
        <v>14</v>
      </c>
      <c r="F1053" s="270">
        <v>5085</v>
      </c>
    </row>
    <row r="1054" spans="2:6" ht="18" customHeight="1">
      <c r="B1054" s="242">
        <f t="shared" si="66"/>
        <v>45976</v>
      </c>
      <c r="C1054" s="123">
        <f t="shared" si="67"/>
        <v>2025</v>
      </c>
      <c r="D1054" s="123">
        <f t="shared" si="68"/>
        <v>11</v>
      </c>
      <c r="E1054" s="123">
        <f t="shared" si="69"/>
        <v>15</v>
      </c>
      <c r="F1054" s="270">
        <v>4091</v>
      </c>
    </row>
    <row r="1055" spans="2:6" ht="18" customHeight="1">
      <c r="B1055" s="242">
        <f t="shared" si="66"/>
        <v>45977</v>
      </c>
      <c r="C1055" s="123">
        <f t="shared" si="67"/>
        <v>2025</v>
      </c>
      <c r="D1055" s="123">
        <f t="shared" si="68"/>
        <v>11</v>
      </c>
      <c r="E1055" s="123">
        <f t="shared" si="69"/>
        <v>16</v>
      </c>
      <c r="F1055" s="270">
        <v>11053</v>
      </c>
    </row>
    <row r="1056" spans="2:6" ht="18" customHeight="1">
      <c r="B1056" s="242">
        <f t="shared" si="66"/>
        <v>45978</v>
      </c>
      <c r="C1056" s="123">
        <f t="shared" si="67"/>
        <v>2025</v>
      </c>
      <c r="D1056" s="123">
        <f t="shared" si="68"/>
        <v>11</v>
      </c>
      <c r="E1056" s="123">
        <f t="shared" si="69"/>
        <v>17</v>
      </c>
      <c r="F1056" s="270">
        <v>10506</v>
      </c>
    </row>
    <row r="1057" spans="2:6" ht="18" customHeight="1">
      <c r="B1057" s="242">
        <f t="shared" si="66"/>
        <v>45979</v>
      </c>
      <c r="C1057" s="123">
        <f t="shared" si="67"/>
        <v>2025</v>
      </c>
      <c r="D1057" s="123">
        <f t="shared" si="68"/>
        <v>11</v>
      </c>
      <c r="E1057" s="123">
        <f t="shared" si="69"/>
        <v>18</v>
      </c>
      <c r="F1057" s="270">
        <v>8679</v>
      </c>
    </row>
    <row r="1058" spans="2:6" ht="18" customHeight="1">
      <c r="B1058" s="242">
        <f t="shared" si="66"/>
        <v>45980</v>
      </c>
      <c r="C1058" s="123">
        <f t="shared" si="67"/>
        <v>2025</v>
      </c>
      <c r="D1058" s="123">
        <f t="shared" si="68"/>
        <v>11</v>
      </c>
      <c r="E1058" s="123">
        <f t="shared" si="69"/>
        <v>19</v>
      </c>
      <c r="F1058" s="270">
        <v>10036</v>
      </c>
    </row>
    <row r="1059" spans="2:6" ht="18" customHeight="1">
      <c r="B1059" s="242">
        <f t="shared" si="66"/>
        <v>45981</v>
      </c>
      <c r="C1059" s="123">
        <f t="shared" si="67"/>
        <v>2025</v>
      </c>
      <c r="D1059" s="123">
        <f t="shared" si="68"/>
        <v>11</v>
      </c>
      <c r="E1059" s="123">
        <f t="shared" si="69"/>
        <v>20</v>
      </c>
      <c r="F1059" s="270">
        <v>11005</v>
      </c>
    </row>
    <row r="1060" spans="2:6" ht="18" customHeight="1">
      <c r="B1060" s="242">
        <f t="shared" si="66"/>
        <v>45982</v>
      </c>
      <c r="C1060" s="123">
        <f t="shared" si="67"/>
        <v>2025</v>
      </c>
      <c r="D1060" s="123">
        <f t="shared" si="68"/>
        <v>11</v>
      </c>
      <c r="E1060" s="123">
        <f t="shared" si="69"/>
        <v>21</v>
      </c>
      <c r="F1060" s="270">
        <v>3369</v>
      </c>
    </row>
    <row r="1061" spans="2:6" ht="18" customHeight="1">
      <c r="B1061" s="242">
        <f t="shared" si="66"/>
        <v>45983</v>
      </c>
      <c r="C1061" s="123">
        <f t="shared" si="67"/>
        <v>2025</v>
      </c>
      <c r="D1061" s="123">
        <f t="shared" si="68"/>
        <v>11</v>
      </c>
      <c r="E1061" s="123">
        <f t="shared" si="69"/>
        <v>22</v>
      </c>
      <c r="F1061" s="270">
        <v>5611</v>
      </c>
    </row>
    <row r="1062" spans="2:6" ht="18" customHeight="1">
      <c r="B1062" s="242">
        <f t="shared" si="66"/>
        <v>45984</v>
      </c>
      <c r="C1062" s="123">
        <f t="shared" si="67"/>
        <v>2025</v>
      </c>
      <c r="D1062" s="123">
        <f t="shared" si="68"/>
        <v>11</v>
      </c>
      <c r="E1062" s="123">
        <f t="shared" si="69"/>
        <v>23</v>
      </c>
      <c r="F1062" s="270">
        <v>1387</v>
      </c>
    </row>
    <row r="1063" spans="2:6" ht="18" customHeight="1">
      <c r="B1063" s="242">
        <f t="shared" si="66"/>
        <v>45985</v>
      </c>
      <c r="C1063" s="123">
        <f t="shared" si="67"/>
        <v>2025</v>
      </c>
      <c r="D1063" s="123">
        <f t="shared" si="68"/>
        <v>11</v>
      </c>
      <c r="E1063" s="123">
        <f t="shared" si="69"/>
        <v>24</v>
      </c>
      <c r="F1063" s="270">
        <v>10256</v>
      </c>
    </row>
    <row r="1064" spans="2:6" ht="18" customHeight="1">
      <c r="B1064" s="242">
        <f t="shared" si="66"/>
        <v>45986</v>
      </c>
      <c r="C1064" s="123">
        <f t="shared" si="67"/>
        <v>2025</v>
      </c>
      <c r="D1064" s="123">
        <f t="shared" si="68"/>
        <v>11</v>
      </c>
      <c r="E1064" s="123">
        <f t="shared" si="69"/>
        <v>25</v>
      </c>
      <c r="F1064" s="270">
        <v>1905</v>
      </c>
    </row>
    <row r="1065" spans="2:6" ht="18" customHeight="1">
      <c r="B1065" s="242">
        <f t="shared" si="66"/>
        <v>45987</v>
      </c>
      <c r="C1065" s="123">
        <f t="shared" si="67"/>
        <v>2025</v>
      </c>
      <c r="D1065" s="123">
        <f t="shared" si="68"/>
        <v>11</v>
      </c>
      <c r="E1065" s="123">
        <f t="shared" si="69"/>
        <v>26</v>
      </c>
      <c r="F1065" s="270">
        <v>11003</v>
      </c>
    </row>
    <row r="1066" spans="2:6" ht="18" customHeight="1">
      <c r="B1066" s="242">
        <f t="shared" si="66"/>
        <v>45988</v>
      </c>
      <c r="C1066" s="123">
        <f t="shared" si="67"/>
        <v>2025</v>
      </c>
      <c r="D1066" s="123">
        <f t="shared" si="68"/>
        <v>11</v>
      </c>
      <c r="E1066" s="123">
        <f t="shared" si="69"/>
        <v>27</v>
      </c>
      <c r="F1066" s="270">
        <v>10260</v>
      </c>
    </row>
    <row r="1067" spans="2:6" ht="18" customHeight="1">
      <c r="B1067" s="242">
        <f t="shared" si="66"/>
        <v>45989</v>
      </c>
      <c r="C1067" s="123">
        <f t="shared" si="67"/>
        <v>2025</v>
      </c>
      <c r="D1067" s="123">
        <f t="shared" si="68"/>
        <v>11</v>
      </c>
      <c r="E1067" s="123">
        <f t="shared" si="69"/>
        <v>28</v>
      </c>
      <c r="F1067" s="270">
        <v>4234</v>
      </c>
    </row>
    <row r="1068" spans="2:6" ht="18" customHeight="1">
      <c r="B1068" s="242">
        <f t="shared" si="66"/>
        <v>45990</v>
      </c>
      <c r="C1068" s="123">
        <f t="shared" si="67"/>
        <v>2025</v>
      </c>
      <c r="D1068" s="123">
        <f t="shared" si="68"/>
        <v>11</v>
      </c>
      <c r="E1068" s="123">
        <f t="shared" si="69"/>
        <v>29</v>
      </c>
      <c r="F1068" s="270">
        <v>10461</v>
      </c>
    </row>
    <row r="1069" spans="2:6" ht="18" customHeight="1">
      <c r="B1069" s="242">
        <f t="shared" si="66"/>
        <v>45991</v>
      </c>
      <c r="C1069" s="123">
        <f t="shared" si="67"/>
        <v>2025</v>
      </c>
      <c r="D1069" s="123">
        <f t="shared" si="68"/>
        <v>11</v>
      </c>
      <c r="E1069" s="123">
        <f t="shared" si="69"/>
        <v>30</v>
      </c>
      <c r="F1069" s="270">
        <v>4489</v>
      </c>
    </row>
    <row r="1070" spans="2:6" ht="18" customHeight="1">
      <c r="B1070" s="242">
        <f t="shared" si="66"/>
        <v>45992</v>
      </c>
      <c r="C1070" s="123">
        <f t="shared" si="67"/>
        <v>2025</v>
      </c>
      <c r="D1070" s="123">
        <f t="shared" si="68"/>
        <v>12</v>
      </c>
      <c r="E1070" s="123">
        <f t="shared" si="69"/>
        <v>1</v>
      </c>
      <c r="F1070" s="270">
        <v>2835</v>
      </c>
    </row>
    <row r="1071" spans="2:6" ht="18" customHeight="1">
      <c r="B1071" s="242">
        <f t="shared" si="66"/>
        <v>45993</v>
      </c>
      <c r="C1071" s="123">
        <f t="shared" si="67"/>
        <v>2025</v>
      </c>
      <c r="D1071" s="123">
        <f t="shared" si="68"/>
        <v>12</v>
      </c>
      <c r="E1071" s="123">
        <f t="shared" si="69"/>
        <v>2</v>
      </c>
      <c r="F1071" s="270">
        <v>4050</v>
      </c>
    </row>
    <row r="1072" spans="2:6" ht="18" customHeight="1">
      <c r="B1072" s="242">
        <f t="shared" si="66"/>
        <v>45994</v>
      </c>
      <c r="C1072" s="123">
        <f t="shared" si="67"/>
        <v>2025</v>
      </c>
      <c r="D1072" s="123">
        <f t="shared" si="68"/>
        <v>12</v>
      </c>
      <c r="E1072" s="123">
        <f t="shared" si="69"/>
        <v>3</v>
      </c>
      <c r="F1072" s="270">
        <v>4766</v>
      </c>
    </row>
    <row r="1073" spans="2:6" ht="18" customHeight="1">
      <c r="B1073" s="242">
        <f t="shared" si="66"/>
        <v>45995</v>
      </c>
      <c r="C1073" s="123">
        <f t="shared" si="67"/>
        <v>2025</v>
      </c>
      <c r="D1073" s="123">
        <f t="shared" si="68"/>
        <v>12</v>
      </c>
      <c r="E1073" s="123">
        <f t="shared" si="69"/>
        <v>4</v>
      </c>
      <c r="F1073" s="270">
        <v>6198</v>
      </c>
    </row>
    <row r="1074" spans="2:6" ht="18" customHeight="1">
      <c r="B1074" s="242">
        <f t="shared" si="66"/>
        <v>45996</v>
      </c>
      <c r="C1074" s="123">
        <f t="shared" si="67"/>
        <v>2025</v>
      </c>
      <c r="D1074" s="123">
        <f t="shared" si="68"/>
        <v>12</v>
      </c>
      <c r="E1074" s="123">
        <f t="shared" si="69"/>
        <v>5</v>
      </c>
      <c r="F1074" s="270">
        <v>4219</v>
      </c>
    </row>
    <row r="1075" spans="2:6" ht="18" customHeight="1">
      <c r="B1075" s="242">
        <f t="shared" si="66"/>
        <v>45997</v>
      </c>
      <c r="C1075" s="123">
        <f t="shared" si="67"/>
        <v>2025</v>
      </c>
      <c r="D1075" s="123">
        <f t="shared" si="68"/>
        <v>12</v>
      </c>
      <c r="E1075" s="123">
        <f t="shared" si="69"/>
        <v>6</v>
      </c>
      <c r="F1075" s="270">
        <v>4883</v>
      </c>
    </row>
    <row r="1076" spans="2:6" ht="18" customHeight="1">
      <c r="B1076" s="242">
        <f t="shared" ref="B1076:B1139" si="70">+B1075+1</f>
        <v>45998</v>
      </c>
      <c r="C1076" s="123">
        <f t="shared" si="67"/>
        <v>2025</v>
      </c>
      <c r="D1076" s="123">
        <f t="shared" si="68"/>
        <v>12</v>
      </c>
      <c r="E1076" s="123">
        <f t="shared" si="69"/>
        <v>7</v>
      </c>
      <c r="F1076" s="270">
        <v>4087</v>
      </c>
    </row>
    <row r="1077" spans="2:6" ht="18" customHeight="1">
      <c r="B1077" s="242">
        <f t="shared" si="70"/>
        <v>45999</v>
      </c>
      <c r="C1077" s="123">
        <f t="shared" si="67"/>
        <v>2025</v>
      </c>
      <c r="D1077" s="123">
        <f t="shared" si="68"/>
        <v>12</v>
      </c>
      <c r="E1077" s="123">
        <f t="shared" si="69"/>
        <v>8</v>
      </c>
      <c r="F1077" s="270">
        <v>9644</v>
      </c>
    </row>
    <row r="1078" spans="2:6" ht="18" customHeight="1">
      <c r="B1078" s="242">
        <f t="shared" si="70"/>
        <v>46000</v>
      </c>
      <c r="C1078" s="123">
        <f t="shared" si="67"/>
        <v>2025</v>
      </c>
      <c r="D1078" s="123">
        <f t="shared" si="68"/>
        <v>12</v>
      </c>
      <c r="E1078" s="123">
        <f t="shared" si="69"/>
        <v>9</v>
      </c>
      <c r="F1078" s="270">
        <v>4695</v>
      </c>
    </row>
    <row r="1079" spans="2:6" ht="18" customHeight="1">
      <c r="B1079" s="242">
        <f t="shared" si="70"/>
        <v>46001</v>
      </c>
      <c r="C1079" s="123">
        <f t="shared" si="67"/>
        <v>2025</v>
      </c>
      <c r="D1079" s="123">
        <f t="shared" si="68"/>
        <v>12</v>
      </c>
      <c r="E1079" s="123">
        <f t="shared" si="69"/>
        <v>10</v>
      </c>
      <c r="F1079" s="270">
        <v>9055</v>
      </c>
    </row>
    <row r="1080" spans="2:6" ht="18" customHeight="1">
      <c r="B1080" s="242">
        <f t="shared" si="70"/>
        <v>46002</v>
      </c>
      <c r="C1080" s="123">
        <f t="shared" si="67"/>
        <v>2025</v>
      </c>
      <c r="D1080" s="123">
        <f t="shared" si="68"/>
        <v>12</v>
      </c>
      <c r="E1080" s="123">
        <f t="shared" si="69"/>
        <v>11</v>
      </c>
      <c r="F1080" s="270">
        <v>4569</v>
      </c>
    </row>
    <row r="1081" spans="2:6" ht="18" customHeight="1">
      <c r="B1081" s="242">
        <f t="shared" si="70"/>
        <v>46003</v>
      </c>
      <c r="C1081" s="123">
        <f t="shared" si="67"/>
        <v>2025</v>
      </c>
      <c r="D1081" s="123">
        <f t="shared" si="68"/>
        <v>12</v>
      </c>
      <c r="E1081" s="123">
        <f t="shared" si="69"/>
        <v>12</v>
      </c>
      <c r="F1081" s="270">
        <v>5793</v>
      </c>
    </row>
    <row r="1082" spans="2:6" ht="18" customHeight="1">
      <c r="B1082" s="242">
        <f t="shared" si="70"/>
        <v>46004</v>
      </c>
      <c r="C1082" s="123">
        <f t="shared" si="67"/>
        <v>2025</v>
      </c>
      <c r="D1082" s="123">
        <f t="shared" si="68"/>
        <v>12</v>
      </c>
      <c r="E1082" s="123">
        <f t="shared" si="69"/>
        <v>13</v>
      </c>
      <c r="F1082" s="270">
        <v>9531</v>
      </c>
    </row>
    <row r="1083" spans="2:6" ht="18" customHeight="1">
      <c r="B1083" s="242">
        <f t="shared" si="70"/>
        <v>46005</v>
      </c>
      <c r="C1083" s="123">
        <f t="shared" si="67"/>
        <v>2025</v>
      </c>
      <c r="D1083" s="123">
        <f t="shared" si="68"/>
        <v>12</v>
      </c>
      <c r="E1083" s="123">
        <f t="shared" si="69"/>
        <v>14</v>
      </c>
      <c r="F1083" s="270">
        <v>4272</v>
      </c>
    </row>
    <row r="1084" spans="2:6" ht="18" customHeight="1">
      <c r="B1084" s="242">
        <f t="shared" si="70"/>
        <v>46006</v>
      </c>
      <c r="C1084" s="123">
        <f t="shared" si="67"/>
        <v>2025</v>
      </c>
      <c r="D1084" s="123">
        <f t="shared" si="68"/>
        <v>12</v>
      </c>
      <c r="E1084" s="123">
        <f t="shared" si="69"/>
        <v>15</v>
      </c>
      <c r="F1084" s="270">
        <v>11000</v>
      </c>
    </row>
    <row r="1085" spans="2:6" ht="18" customHeight="1">
      <c r="B1085" s="242">
        <f t="shared" si="70"/>
        <v>46007</v>
      </c>
      <c r="C1085" s="123">
        <f t="shared" si="67"/>
        <v>2025</v>
      </c>
      <c r="D1085" s="123">
        <f t="shared" si="68"/>
        <v>12</v>
      </c>
      <c r="E1085" s="123">
        <f t="shared" si="69"/>
        <v>16</v>
      </c>
      <c r="F1085" s="270">
        <v>3946</v>
      </c>
    </row>
    <row r="1086" spans="2:6" ht="18" customHeight="1">
      <c r="B1086" s="242">
        <f t="shared" si="70"/>
        <v>46008</v>
      </c>
      <c r="C1086" s="123">
        <f t="shared" si="67"/>
        <v>2025</v>
      </c>
      <c r="D1086" s="123">
        <f t="shared" si="68"/>
        <v>12</v>
      </c>
      <c r="E1086" s="123">
        <f t="shared" si="69"/>
        <v>17</v>
      </c>
      <c r="F1086" s="270">
        <v>10082</v>
      </c>
    </row>
    <row r="1087" spans="2:6" ht="18" customHeight="1">
      <c r="B1087" s="242">
        <f t="shared" si="70"/>
        <v>46009</v>
      </c>
      <c r="C1087" s="123">
        <f t="shared" si="67"/>
        <v>2025</v>
      </c>
      <c r="D1087" s="123">
        <f t="shared" si="68"/>
        <v>12</v>
      </c>
      <c r="E1087" s="123">
        <f t="shared" si="69"/>
        <v>18</v>
      </c>
      <c r="F1087" s="270">
        <v>3862</v>
      </c>
    </row>
    <row r="1088" spans="2:6" ht="18" customHeight="1">
      <c r="B1088" s="242">
        <f t="shared" si="70"/>
        <v>46010</v>
      </c>
      <c r="C1088" s="123">
        <f t="shared" si="67"/>
        <v>2025</v>
      </c>
      <c r="D1088" s="123">
        <f t="shared" si="68"/>
        <v>12</v>
      </c>
      <c r="E1088" s="123">
        <f t="shared" si="69"/>
        <v>19</v>
      </c>
      <c r="F1088" s="270">
        <v>6252</v>
      </c>
    </row>
    <row r="1089" spans="2:6" ht="18" customHeight="1">
      <c r="B1089" s="242">
        <f t="shared" si="70"/>
        <v>46011</v>
      </c>
      <c r="C1089" s="123">
        <f t="shared" si="67"/>
        <v>2025</v>
      </c>
      <c r="D1089" s="123">
        <f t="shared" si="68"/>
        <v>12</v>
      </c>
      <c r="E1089" s="123">
        <f t="shared" si="69"/>
        <v>20</v>
      </c>
      <c r="F1089" s="270">
        <v>2893</v>
      </c>
    </row>
    <row r="1090" spans="2:6" ht="18" customHeight="1">
      <c r="B1090" s="242">
        <f t="shared" si="70"/>
        <v>46012</v>
      </c>
      <c r="C1090" s="123">
        <f t="shared" si="67"/>
        <v>2025</v>
      </c>
      <c r="D1090" s="123">
        <f t="shared" si="68"/>
        <v>12</v>
      </c>
      <c r="E1090" s="123">
        <f t="shared" si="69"/>
        <v>21</v>
      </c>
      <c r="F1090" s="270">
        <v>1701</v>
      </c>
    </row>
    <row r="1091" spans="2:6" ht="18" customHeight="1">
      <c r="B1091" s="242">
        <f t="shared" si="70"/>
        <v>46013</v>
      </c>
      <c r="C1091" s="123">
        <f t="shared" si="67"/>
        <v>2025</v>
      </c>
      <c r="D1091" s="123">
        <f t="shared" si="68"/>
        <v>12</v>
      </c>
      <c r="E1091" s="123">
        <f t="shared" si="69"/>
        <v>22</v>
      </c>
      <c r="F1091" s="270">
        <v>4906</v>
      </c>
    </row>
    <row r="1092" spans="2:6" ht="18" customHeight="1">
      <c r="B1092" s="242">
        <f t="shared" si="70"/>
        <v>46014</v>
      </c>
      <c r="C1092" s="123">
        <f t="shared" si="67"/>
        <v>2025</v>
      </c>
      <c r="D1092" s="123">
        <f t="shared" si="68"/>
        <v>12</v>
      </c>
      <c r="E1092" s="123">
        <f t="shared" si="69"/>
        <v>23</v>
      </c>
      <c r="F1092" s="270">
        <v>5996</v>
      </c>
    </row>
    <row r="1093" spans="2:6" ht="18" customHeight="1">
      <c r="B1093" s="242">
        <f t="shared" si="70"/>
        <v>46015</v>
      </c>
      <c r="C1093" s="123">
        <f t="shared" si="67"/>
        <v>2025</v>
      </c>
      <c r="D1093" s="123">
        <f t="shared" si="68"/>
        <v>12</v>
      </c>
      <c r="E1093" s="123">
        <f t="shared" si="69"/>
        <v>24</v>
      </c>
      <c r="F1093" s="270">
        <v>9083</v>
      </c>
    </row>
    <row r="1094" spans="2:6" ht="18" customHeight="1">
      <c r="B1094" s="242">
        <f t="shared" si="70"/>
        <v>46016</v>
      </c>
      <c r="C1094" s="123">
        <f t="shared" ref="C1094:C1157" si="71">YEAR(B1094)</f>
        <v>2025</v>
      </c>
      <c r="D1094" s="123">
        <f t="shared" ref="D1094:D1157" si="72">MONTH(B1094)</f>
        <v>12</v>
      </c>
      <c r="E1094" s="123">
        <f t="shared" ref="E1094:E1157" si="73">DAY(B1094)</f>
        <v>25</v>
      </c>
      <c r="F1094" s="270">
        <v>9690</v>
      </c>
    </row>
    <row r="1095" spans="2:6" ht="18" customHeight="1">
      <c r="B1095" s="242">
        <f t="shared" si="70"/>
        <v>46017</v>
      </c>
      <c r="C1095" s="123">
        <f t="shared" si="71"/>
        <v>2025</v>
      </c>
      <c r="D1095" s="123">
        <f t="shared" si="72"/>
        <v>12</v>
      </c>
      <c r="E1095" s="123">
        <f t="shared" si="73"/>
        <v>26</v>
      </c>
      <c r="F1095" s="270">
        <v>3689</v>
      </c>
    </row>
    <row r="1096" spans="2:6" ht="18" customHeight="1">
      <c r="B1096" s="242">
        <f t="shared" si="70"/>
        <v>46018</v>
      </c>
      <c r="C1096" s="123">
        <f t="shared" si="71"/>
        <v>2025</v>
      </c>
      <c r="D1096" s="123">
        <f t="shared" si="72"/>
        <v>12</v>
      </c>
      <c r="E1096" s="123">
        <f t="shared" si="73"/>
        <v>27</v>
      </c>
      <c r="F1096" s="270">
        <v>3970</v>
      </c>
    </row>
    <row r="1097" spans="2:6" ht="18" customHeight="1">
      <c r="B1097" s="242">
        <f t="shared" si="70"/>
        <v>46019</v>
      </c>
      <c r="C1097" s="123">
        <f t="shared" si="71"/>
        <v>2025</v>
      </c>
      <c r="D1097" s="123">
        <f t="shared" si="72"/>
        <v>12</v>
      </c>
      <c r="E1097" s="123">
        <f t="shared" si="73"/>
        <v>28</v>
      </c>
      <c r="F1097" s="270">
        <v>9749</v>
      </c>
    </row>
    <row r="1098" spans="2:6" ht="18" customHeight="1">
      <c r="B1098" s="242">
        <f t="shared" si="70"/>
        <v>46020</v>
      </c>
      <c r="C1098" s="123">
        <f t="shared" si="71"/>
        <v>2025</v>
      </c>
      <c r="D1098" s="123">
        <f t="shared" si="72"/>
        <v>12</v>
      </c>
      <c r="E1098" s="123">
        <f t="shared" si="73"/>
        <v>29</v>
      </c>
      <c r="F1098" s="270">
        <v>7426</v>
      </c>
    </row>
    <row r="1099" spans="2:6" ht="18" customHeight="1">
      <c r="B1099" s="242">
        <f t="shared" si="70"/>
        <v>46021</v>
      </c>
      <c r="C1099" s="123">
        <f t="shared" si="71"/>
        <v>2025</v>
      </c>
      <c r="D1099" s="123">
        <f t="shared" si="72"/>
        <v>12</v>
      </c>
      <c r="E1099" s="123">
        <f t="shared" si="73"/>
        <v>30</v>
      </c>
      <c r="F1099" s="270">
        <v>8750</v>
      </c>
    </row>
    <row r="1100" spans="2:6" ht="18" customHeight="1">
      <c r="B1100" s="242">
        <f t="shared" si="70"/>
        <v>46022</v>
      </c>
      <c r="C1100" s="123">
        <f t="shared" si="71"/>
        <v>2025</v>
      </c>
      <c r="D1100" s="123">
        <f t="shared" si="72"/>
        <v>12</v>
      </c>
      <c r="E1100" s="123">
        <f t="shared" si="73"/>
        <v>31</v>
      </c>
      <c r="F1100" s="270">
        <v>1400</v>
      </c>
    </row>
    <row r="1101" spans="2:6" ht="18" customHeight="1">
      <c r="B1101" s="242">
        <f t="shared" si="70"/>
        <v>46023</v>
      </c>
      <c r="C1101" s="123">
        <f t="shared" si="71"/>
        <v>2026</v>
      </c>
      <c r="D1101" s="123">
        <f t="shared" si="72"/>
        <v>1</v>
      </c>
      <c r="E1101" s="123">
        <f t="shared" si="73"/>
        <v>1</v>
      </c>
      <c r="F1101" s="270">
        <v>2383</v>
      </c>
    </row>
    <row r="1102" spans="2:6" ht="18" customHeight="1">
      <c r="B1102" s="242">
        <f t="shared" si="70"/>
        <v>46024</v>
      </c>
      <c r="C1102" s="123">
        <f t="shared" si="71"/>
        <v>2026</v>
      </c>
      <c r="D1102" s="123">
        <f t="shared" si="72"/>
        <v>1</v>
      </c>
      <c r="E1102" s="123">
        <f t="shared" si="73"/>
        <v>2</v>
      </c>
      <c r="F1102" s="270">
        <v>3304</v>
      </c>
    </row>
    <row r="1103" spans="2:6" ht="18" customHeight="1">
      <c r="B1103" s="242">
        <f t="shared" si="70"/>
        <v>46025</v>
      </c>
      <c r="C1103" s="123">
        <f t="shared" si="71"/>
        <v>2026</v>
      </c>
      <c r="D1103" s="123">
        <f t="shared" si="72"/>
        <v>1</v>
      </c>
      <c r="E1103" s="123">
        <f t="shared" si="73"/>
        <v>3</v>
      </c>
      <c r="F1103" s="270">
        <v>10925</v>
      </c>
    </row>
    <row r="1104" spans="2:6" ht="18" customHeight="1">
      <c r="B1104" s="242">
        <f t="shared" si="70"/>
        <v>46026</v>
      </c>
      <c r="C1104" s="123">
        <f t="shared" si="71"/>
        <v>2026</v>
      </c>
      <c r="D1104" s="123">
        <f t="shared" si="72"/>
        <v>1</v>
      </c>
      <c r="E1104" s="123">
        <f t="shared" si="73"/>
        <v>4</v>
      </c>
      <c r="F1104" s="270">
        <v>7067</v>
      </c>
    </row>
    <row r="1105" spans="2:6" ht="18" customHeight="1">
      <c r="B1105" s="242">
        <f t="shared" si="70"/>
        <v>46027</v>
      </c>
      <c r="C1105" s="123">
        <f t="shared" si="71"/>
        <v>2026</v>
      </c>
      <c r="D1105" s="123">
        <f t="shared" si="72"/>
        <v>1</v>
      </c>
      <c r="E1105" s="123">
        <f t="shared" si="73"/>
        <v>5</v>
      </c>
      <c r="F1105" s="270">
        <v>7552</v>
      </c>
    </row>
    <row r="1106" spans="2:6" ht="18" customHeight="1">
      <c r="B1106" s="242">
        <f t="shared" si="70"/>
        <v>46028</v>
      </c>
      <c r="C1106" s="123">
        <f t="shared" si="71"/>
        <v>2026</v>
      </c>
      <c r="D1106" s="123">
        <f t="shared" si="72"/>
        <v>1</v>
      </c>
      <c r="E1106" s="123">
        <f t="shared" si="73"/>
        <v>6</v>
      </c>
      <c r="F1106" s="270">
        <v>8875</v>
      </c>
    </row>
    <row r="1107" spans="2:6" ht="18" customHeight="1">
      <c r="B1107" s="242">
        <f t="shared" si="70"/>
        <v>46029</v>
      </c>
      <c r="C1107" s="123">
        <f t="shared" si="71"/>
        <v>2026</v>
      </c>
      <c r="D1107" s="123">
        <f t="shared" si="72"/>
        <v>1</v>
      </c>
      <c r="E1107" s="123">
        <f t="shared" si="73"/>
        <v>7</v>
      </c>
      <c r="F1107" s="270">
        <v>4303</v>
      </c>
    </row>
    <row r="1108" spans="2:6" ht="18" customHeight="1">
      <c r="B1108" s="242">
        <f t="shared" si="70"/>
        <v>46030</v>
      </c>
      <c r="C1108" s="123">
        <f t="shared" si="71"/>
        <v>2026</v>
      </c>
      <c r="D1108" s="123">
        <f t="shared" si="72"/>
        <v>1</v>
      </c>
      <c r="E1108" s="123">
        <f t="shared" si="73"/>
        <v>8</v>
      </c>
      <c r="F1108" s="270">
        <v>7976</v>
      </c>
    </row>
    <row r="1109" spans="2:6" ht="18" customHeight="1">
      <c r="B1109" s="242">
        <f t="shared" si="70"/>
        <v>46031</v>
      </c>
      <c r="C1109" s="123">
        <f t="shared" si="71"/>
        <v>2026</v>
      </c>
      <c r="D1109" s="123">
        <f t="shared" si="72"/>
        <v>1</v>
      </c>
      <c r="E1109" s="123">
        <f t="shared" si="73"/>
        <v>9</v>
      </c>
      <c r="F1109" s="270">
        <v>10914</v>
      </c>
    </row>
    <row r="1110" spans="2:6" ht="18" customHeight="1">
      <c r="B1110" s="242">
        <f t="shared" si="70"/>
        <v>46032</v>
      </c>
      <c r="C1110" s="123">
        <f t="shared" si="71"/>
        <v>2026</v>
      </c>
      <c r="D1110" s="123">
        <f t="shared" si="72"/>
        <v>1</v>
      </c>
      <c r="E1110" s="123">
        <f t="shared" si="73"/>
        <v>10</v>
      </c>
      <c r="F1110" s="270">
        <v>10142</v>
      </c>
    </row>
    <row r="1111" spans="2:6" ht="18" customHeight="1">
      <c r="B1111" s="242">
        <f t="shared" si="70"/>
        <v>46033</v>
      </c>
      <c r="C1111" s="123">
        <f t="shared" si="71"/>
        <v>2026</v>
      </c>
      <c r="D1111" s="123">
        <f t="shared" si="72"/>
        <v>1</v>
      </c>
      <c r="E1111" s="123">
        <f t="shared" si="73"/>
        <v>11</v>
      </c>
      <c r="F1111" s="270">
        <v>4923</v>
      </c>
    </row>
    <row r="1112" spans="2:6" ht="18" customHeight="1">
      <c r="B1112" s="242">
        <f t="shared" si="70"/>
        <v>46034</v>
      </c>
      <c r="C1112" s="123">
        <f t="shared" si="71"/>
        <v>2026</v>
      </c>
      <c r="D1112" s="123">
        <f t="shared" si="72"/>
        <v>1</v>
      </c>
      <c r="E1112" s="123">
        <f t="shared" si="73"/>
        <v>12</v>
      </c>
      <c r="F1112" s="270">
        <v>5641</v>
      </c>
    </row>
    <row r="1113" spans="2:6" ht="18" customHeight="1">
      <c r="B1113" s="242">
        <f t="shared" si="70"/>
        <v>46035</v>
      </c>
      <c r="C1113" s="123">
        <f t="shared" si="71"/>
        <v>2026</v>
      </c>
      <c r="D1113" s="123">
        <f t="shared" si="72"/>
        <v>1</v>
      </c>
      <c r="E1113" s="123">
        <f t="shared" si="73"/>
        <v>13</v>
      </c>
      <c r="F1113" s="270">
        <v>10673</v>
      </c>
    </row>
    <row r="1114" spans="2:6" ht="18" customHeight="1">
      <c r="B1114" s="242">
        <f t="shared" si="70"/>
        <v>46036</v>
      </c>
      <c r="C1114" s="123">
        <f t="shared" si="71"/>
        <v>2026</v>
      </c>
      <c r="D1114" s="123">
        <f t="shared" si="72"/>
        <v>1</v>
      </c>
      <c r="E1114" s="123">
        <f t="shared" si="73"/>
        <v>14</v>
      </c>
      <c r="F1114" s="270">
        <v>10033</v>
      </c>
    </row>
    <row r="1115" spans="2:6" ht="18" customHeight="1">
      <c r="B1115" s="242">
        <f t="shared" si="70"/>
        <v>46037</v>
      </c>
      <c r="C1115" s="123">
        <f t="shared" si="71"/>
        <v>2026</v>
      </c>
      <c r="D1115" s="123">
        <f t="shared" si="72"/>
        <v>1</v>
      </c>
      <c r="E1115" s="123">
        <f t="shared" si="73"/>
        <v>15</v>
      </c>
      <c r="F1115" s="270">
        <v>1939</v>
      </c>
    </row>
    <row r="1116" spans="2:6" ht="18" customHeight="1">
      <c r="B1116" s="242">
        <f t="shared" si="70"/>
        <v>46038</v>
      </c>
      <c r="C1116" s="123">
        <f t="shared" si="71"/>
        <v>2026</v>
      </c>
      <c r="D1116" s="123">
        <f t="shared" si="72"/>
        <v>1</v>
      </c>
      <c r="E1116" s="123">
        <f t="shared" si="73"/>
        <v>16</v>
      </c>
      <c r="F1116" s="270">
        <v>7575</v>
      </c>
    </row>
    <row r="1117" spans="2:6" ht="18" customHeight="1">
      <c r="B1117" s="242">
        <f t="shared" si="70"/>
        <v>46039</v>
      </c>
      <c r="C1117" s="123">
        <f t="shared" si="71"/>
        <v>2026</v>
      </c>
      <c r="D1117" s="123">
        <f t="shared" si="72"/>
        <v>1</v>
      </c>
      <c r="E1117" s="123">
        <f t="shared" si="73"/>
        <v>17</v>
      </c>
      <c r="F1117" s="270">
        <v>4503</v>
      </c>
    </row>
    <row r="1118" spans="2:6" ht="18" customHeight="1">
      <c r="B1118" s="242">
        <f t="shared" si="70"/>
        <v>46040</v>
      </c>
      <c r="C1118" s="123">
        <f t="shared" si="71"/>
        <v>2026</v>
      </c>
      <c r="D1118" s="123">
        <f t="shared" si="72"/>
        <v>1</v>
      </c>
      <c r="E1118" s="123">
        <f t="shared" si="73"/>
        <v>18</v>
      </c>
      <c r="F1118" s="270">
        <v>3127</v>
      </c>
    </row>
    <row r="1119" spans="2:6" ht="18" customHeight="1">
      <c r="B1119" s="242">
        <f t="shared" si="70"/>
        <v>46041</v>
      </c>
      <c r="C1119" s="123">
        <f t="shared" si="71"/>
        <v>2026</v>
      </c>
      <c r="D1119" s="123">
        <f t="shared" si="72"/>
        <v>1</v>
      </c>
      <c r="E1119" s="123">
        <f t="shared" si="73"/>
        <v>19</v>
      </c>
      <c r="F1119" s="270">
        <v>1556</v>
      </c>
    </row>
    <row r="1120" spans="2:6" ht="18" customHeight="1">
      <c r="B1120" s="242">
        <f t="shared" si="70"/>
        <v>46042</v>
      </c>
      <c r="C1120" s="123">
        <f t="shared" si="71"/>
        <v>2026</v>
      </c>
      <c r="D1120" s="123">
        <f t="shared" si="72"/>
        <v>1</v>
      </c>
      <c r="E1120" s="123">
        <f t="shared" si="73"/>
        <v>20</v>
      </c>
      <c r="F1120" s="270">
        <v>2011</v>
      </c>
    </row>
    <row r="1121" spans="2:6" ht="18" customHeight="1">
      <c r="B1121" s="242">
        <f t="shared" si="70"/>
        <v>46043</v>
      </c>
      <c r="C1121" s="123">
        <f t="shared" si="71"/>
        <v>2026</v>
      </c>
      <c r="D1121" s="123">
        <f t="shared" si="72"/>
        <v>1</v>
      </c>
      <c r="E1121" s="123">
        <f t="shared" si="73"/>
        <v>21</v>
      </c>
      <c r="F1121" s="270">
        <v>2287</v>
      </c>
    </row>
    <row r="1122" spans="2:6" ht="18" customHeight="1">
      <c r="B1122" s="242">
        <f t="shared" si="70"/>
        <v>46044</v>
      </c>
      <c r="C1122" s="123">
        <f t="shared" si="71"/>
        <v>2026</v>
      </c>
      <c r="D1122" s="123">
        <f t="shared" si="72"/>
        <v>1</v>
      </c>
      <c r="E1122" s="123">
        <f t="shared" si="73"/>
        <v>22</v>
      </c>
      <c r="F1122" s="270">
        <v>9793</v>
      </c>
    </row>
    <row r="1123" spans="2:6" ht="18" customHeight="1">
      <c r="B1123" s="242">
        <f t="shared" si="70"/>
        <v>46045</v>
      </c>
      <c r="C1123" s="123">
        <f t="shared" si="71"/>
        <v>2026</v>
      </c>
      <c r="D1123" s="123">
        <f t="shared" si="72"/>
        <v>1</v>
      </c>
      <c r="E1123" s="123">
        <f t="shared" si="73"/>
        <v>23</v>
      </c>
      <c r="F1123" s="270">
        <v>3383</v>
      </c>
    </row>
    <row r="1124" spans="2:6" ht="18" customHeight="1">
      <c r="B1124" s="242">
        <f t="shared" si="70"/>
        <v>46046</v>
      </c>
      <c r="C1124" s="123">
        <f t="shared" si="71"/>
        <v>2026</v>
      </c>
      <c r="D1124" s="123">
        <f t="shared" si="72"/>
        <v>1</v>
      </c>
      <c r="E1124" s="123">
        <f t="shared" si="73"/>
        <v>24</v>
      </c>
      <c r="F1124" s="270">
        <v>7351</v>
      </c>
    </row>
    <row r="1125" spans="2:6" ht="18" customHeight="1">
      <c r="B1125" s="242">
        <f t="shared" si="70"/>
        <v>46047</v>
      </c>
      <c r="C1125" s="123">
        <f t="shared" si="71"/>
        <v>2026</v>
      </c>
      <c r="D1125" s="123">
        <f t="shared" si="72"/>
        <v>1</v>
      </c>
      <c r="E1125" s="123">
        <f t="shared" si="73"/>
        <v>25</v>
      </c>
      <c r="F1125" s="270">
        <v>1674</v>
      </c>
    </row>
    <row r="1126" spans="2:6" ht="18" customHeight="1">
      <c r="B1126" s="242">
        <f t="shared" si="70"/>
        <v>46048</v>
      </c>
      <c r="C1126" s="123">
        <f t="shared" si="71"/>
        <v>2026</v>
      </c>
      <c r="D1126" s="123">
        <f t="shared" si="72"/>
        <v>1</v>
      </c>
      <c r="E1126" s="123">
        <f t="shared" si="73"/>
        <v>26</v>
      </c>
      <c r="F1126" s="270">
        <v>10806</v>
      </c>
    </row>
    <row r="1127" spans="2:6" ht="18" customHeight="1">
      <c r="B1127" s="242">
        <f t="shared" si="70"/>
        <v>46049</v>
      </c>
      <c r="C1127" s="123">
        <f t="shared" si="71"/>
        <v>2026</v>
      </c>
      <c r="D1127" s="123">
        <f t="shared" si="72"/>
        <v>1</v>
      </c>
      <c r="E1127" s="123">
        <f t="shared" si="73"/>
        <v>27</v>
      </c>
      <c r="F1127" s="270">
        <v>3997</v>
      </c>
    </row>
    <row r="1128" spans="2:6" ht="18" customHeight="1">
      <c r="B1128" s="242">
        <f t="shared" si="70"/>
        <v>46050</v>
      </c>
      <c r="C1128" s="123">
        <f t="shared" si="71"/>
        <v>2026</v>
      </c>
      <c r="D1128" s="123">
        <f t="shared" si="72"/>
        <v>1</v>
      </c>
      <c r="E1128" s="123">
        <f t="shared" si="73"/>
        <v>28</v>
      </c>
      <c r="F1128" s="270">
        <v>6651</v>
      </c>
    </row>
    <row r="1129" spans="2:6" ht="18" customHeight="1">
      <c r="B1129" s="242">
        <f t="shared" si="70"/>
        <v>46051</v>
      </c>
      <c r="C1129" s="123">
        <f t="shared" si="71"/>
        <v>2026</v>
      </c>
      <c r="D1129" s="123">
        <f t="shared" si="72"/>
        <v>1</v>
      </c>
      <c r="E1129" s="123">
        <f t="shared" si="73"/>
        <v>29</v>
      </c>
      <c r="F1129" s="270">
        <v>7579</v>
      </c>
    </row>
    <row r="1130" spans="2:6" ht="18" customHeight="1">
      <c r="B1130" s="242">
        <f t="shared" si="70"/>
        <v>46052</v>
      </c>
      <c r="C1130" s="123">
        <f t="shared" si="71"/>
        <v>2026</v>
      </c>
      <c r="D1130" s="123">
        <f t="shared" si="72"/>
        <v>1</v>
      </c>
      <c r="E1130" s="123">
        <f t="shared" si="73"/>
        <v>30</v>
      </c>
      <c r="F1130" s="270">
        <v>1881</v>
      </c>
    </row>
    <row r="1131" spans="2:6" ht="18" customHeight="1">
      <c r="B1131" s="242">
        <f t="shared" si="70"/>
        <v>46053</v>
      </c>
      <c r="C1131" s="123">
        <f t="shared" si="71"/>
        <v>2026</v>
      </c>
      <c r="D1131" s="123">
        <f t="shared" si="72"/>
        <v>1</v>
      </c>
      <c r="E1131" s="123">
        <f t="shared" si="73"/>
        <v>31</v>
      </c>
      <c r="F1131" s="270">
        <v>6043</v>
      </c>
    </row>
    <row r="1132" spans="2:6" ht="18" customHeight="1">
      <c r="B1132" s="242">
        <f t="shared" si="70"/>
        <v>46054</v>
      </c>
      <c r="C1132" s="123">
        <f t="shared" si="71"/>
        <v>2026</v>
      </c>
      <c r="D1132" s="123">
        <f t="shared" si="72"/>
        <v>2</v>
      </c>
      <c r="E1132" s="123">
        <f t="shared" si="73"/>
        <v>1</v>
      </c>
      <c r="F1132" s="270">
        <v>3519</v>
      </c>
    </row>
    <row r="1133" spans="2:6" ht="18" customHeight="1">
      <c r="B1133" s="242">
        <f t="shared" si="70"/>
        <v>46055</v>
      </c>
      <c r="C1133" s="123">
        <f t="shared" si="71"/>
        <v>2026</v>
      </c>
      <c r="D1133" s="123">
        <f t="shared" si="72"/>
        <v>2</v>
      </c>
      <c r="E1133" s="123">
        <f t="shared" si="73"/>
        <v>2</v>
      </c>
      <c r="F1133" s="270">
        <v>2197</v>
      </c>
    </row>
    <row r="1134" spans="2:6" ht="18" customHeight="1">
      <c r="B1134" s="242">
        <f t="shared" si="70"/>
        <v>46056</v>
      </c>
      <c r="C1134" s="123">
        <f t="shared" si="71"/>
        <v>2026</v>
      </c>
      <c r="D1134" s="123">
        <f t="shared" si="72"/>
        <v>2</v>
      </c>
      <c r="E1134" s="123">
        <f t="shared" si="73"/>
        <v>3</v>
      </c>
      <c r="F1134" s="270">
        <v>4777</v>
      </c>
    </row>
    <row r="1135" spans="2:6" ht="18" customHeight="1">
      <c r="B1135" s="242">
        <f t="shared" si="70"/>
        <v>46057</v>
      </c>
      <c r="C1135" s="123">
        <f t="shared" si="71"/>
        <v>2026</v>
      </c>
      <c r="D1135" s="123">
        <f t="shared" si="72"/>
        <v>2</v>
      </c>
      <c r="E1135" s="123">
        <f t="shared" si="73"/>
        <v>4</v>
      </c>
      <c r="F1135" s="270">
        <v>4541</v>
      </c>
    </row>
    <row r="1136" spans="2:6" ht="18" customHeight="1">
      <c r="B1136" s="242">
        <f t="shared" si="70"/>
        <v>46058</v>
      </c>
      <c r="C1136" s="123">
        <f t="shared" si="71"/>
        <v>2026</v>
      </c>
      <c r="D1136" s="123">
        <f t="shared" si="72"/>
        <v>2</v>
      </c>
      <c r="E1136" s="123">
        <f t="shared" si="73"/>
        <v>5</v>
      </c>
      <c r="F1136" s="270">
        <v>10542</v>
      </c>
    </row>
    <row r="1137" spans="2:6" ht="18" customHeight="1">
      <c r="B1137" s="242">
        <f t="shared" si="70"/>
        <v>46059</v>
      </c>
      <c r="C1137" s="123">
        <f t="shared" si="71"/>
        <v>2026</v>
      </c>
      <c r="D1137" s="123">
        <f t="shared" si="72"/>
        <v>2</v>
      </c>
      <c r="E1137" s="123">
        <f t="shared" si="73"/>
        <v>6</v>
      </c>
      <c r="F1137" s="270">
        <v>2802</v>
      </c>
    </row>
    <row r="1138" spans="2:6" ht="18" customHeight="1">
      <c r="B1138" s="242">
        <f t="shared" si="70"/>
        <v>46060</v>
      </c>
      <c r="C1138" s="123">
        <f t="shared" si="71"/>
        <v>2026</v>
      </c>
      <c r="D1138" s="123">
        <f t="shared" si="72"/>
        <v>2</v>
      </c>
      <c r="E1138" s="123">
        <f t="shared" si="73"/>
        <v>7</v>
      </c>
      <c r="F1138" s="270">
        <v>5401</v>
      </c>
    </row>
    <row r="1139" spans="2:6" ht="18" customHeight="1">
      <c r="B1139" s="242">
        <f t="shared" si="70"/>
        <v>46061</v>
      </c>
      <c r="C1139" s="123">
        <f t="shared" si="71"/>
        <v>2026</v>
      </c>
      <c r="D1139" s="123">
        <f t="shared" si="72"/>
        <v>2</v>
      </c>
      <c r="E1139" s="123">
        <f t="shared" si="73"/>
        <v>8</v>
      </c>
      <c r="F1139" s="270">
        <v>9066</v>
      </c>
    </row>
    <row r="1140" spans="2:6" ht="18" customHeight="1">
      <c r="B1140" s="242">
        <f t="shared" ref="B1140:B1203" si="74">+B1139+1</f>
        <v>46062</v>
      </c>
      <c r="C1140" s="123">
        <f t="shared" si="71"/>
        <v>2026</v>
      </c>
      <c r="D1140" s="123">
        <f t="shared" si="72"/>
        <v>2</v>
      </c>
      <c r="E1140" s="123">
        <f t="shared" si="73"/>
        <v>9</v>
      </c>
      <c r="F1140" s="270">
        <v>4054</v>
      </c>
    </row>
    <row r="1141" spans="2:6" ht="18" customHeight="1">
      <c r="B1141" s="242">
        <f t="shared" si="74"/>
        <v>46063</v>
      </c>
      <c r="C1141" s="123">
        <f t="shared" si="71"/>
        <v>2026</v>
      </c>
      <c r="D1141" s="123">
        <f t="shared" si="72"/>
        <v>2</v>
      </c>
      <c r="E1141" s="123">
        <f t="shared" si="73"/>
        <v>10</v>
      </c>
      <c r="F1141" s="270">
        <v>1531</v>
      </c>
    </row>
    <row r="1142" spans="2:6" ht="18" customHeight="1">
      <c r="B1142" s="242">
        <f t="shared" si="74"/>
        <v>46064</v>
      </c>
      <c r="C1142" s="123">
        <f t="shared" si="71"/>
        <v>2026</v>
      </c>
      <c r="D1142" s="123">
        <f t="shared" si="72"/>
        <v>2</v>
      </c>
      <c r="E1142" s="123">
        <f t="shared" si="73"/>
        <v>11</v>
      </c>
      <c r="F1142" s="270">
        <v>8360</v>
      </c>
    </row>
    <row r="1143" spans="2:6" ht="18" customHeight="1">
      <c r="B1143" s="242">
        <f t="shared" si="74"/>
        <v>46065</v>
      </c>
      <c r="C1143" s="123">
        <f t="shared" si="71"/>
        <v>2026</v>
      </c>
      <c r="D1143" s="123">
        <f t="shared" si="72"/>
        <v>2</v>
      </c>
      <c r="E1143" s="123">
        <f t="shared" si="73"/>
        <v>12</v>
      </c>
      <c r="F1143" s="270">
        <v>9289</v>
      </c>
    </row>
    <row r="1144" spans="2:6" ht="18" customHeight="1">
      <c r="B1144" s="242">
        <f t="shared" si="74"/>
        <v>46066</v>
      </c>
      <c r="C1144" s="123">
        <f t="shared" si="71"/>
        <v>2026</v>
      </c>
      <c r="D1144" s="123">
        <f t="shared" si="72"/>
        <v>2</v>
      </c>
      <c r="E1144" s="123">
        <f t="shared" si="73"/>
        <v>13</v>
      </c>
      <c r="F1144" s="270">
        <v>6927</v>
      </c>
    </row>
    <row r="1145" spans="2:6" ht="18" customHeight="1">
      <c r="B1145" s="242">
        <f t="shared" si="74"/>
        <v>46067</v>
      </c>
      <c r="C1145" s="123">
        <f t="shared" si="71"/>
        <v>2026</v>
      </c>
      <c r="D1145" s="123">
        <f t="shared" si="72"/>
        <v>2</v>
      </c>
      <c r="E1145" s="123">
        <f t="shared" si="73"/>
        <v>14</v>
      </c>
      <c r="F1145" s="270">
        <v>6413</v>
      </c>
    </row>
    <row r="1146" spans="2:6" ht="18" customHeight="1">
      <c r="B1146" s="242">
        <f t="shared" si="74"/>
        <v>46068</v>
      </c>
      <c r="C1146" s="123">
        <f t="shared" si="71"/>
        <v>2026</v>
      </c>
      <c r="D1146" s="123">
        <f t="shared" si="72"/>
        <v>2</v>
      </c>
      <c r="E1146" s="123">
        <f t="shared" si="73"/>
        <v>15</v>
      </c>
      <c r="F1146" s="270">
        <v>7804</v>
      </c>
    </row>
    <row r="1147" spans="2:6" ht="18" customHeight="1">
      <c r="B1147" s="242">
        <f t="shared" si="74"/>
        <v>46069</v>
      </c>
      <c r="C1147" s="123">
        <f t="shared" si="71"/>
        <v>2026</v>
      </c>
      <c r="D1147" s="123">
        <f t="shared" si="72"/>
        <v>2</v>
      </c>
      <c r="E1147" s="123">
        <f t="shared" si="73"/>
        <v>16</v>
      </c>
      <c r="F1147" s="270">
        <v>8141</v>
      </c>
    </row>
    <row r="1148" spans="2:6" ht="18" customHeight="1">
      <c r="B1148" s="242">
        <f t="shared" si="74"/>
        <v>46070</v>
      </c>
      <c r="C1148" s="123">
        <f t="shared" si="71"/>
        <v>2026</v>
      </c>
      <c r="D1148" s="123">
        <f t="shared" si="72"/>
        <v>2</v>
      </c>
      <c r="E1148" s="123">
        <f t="shared" si="73"/>
        <v>17</v>
      </c>
      <c r="F1148" s="270">
        <v>8989</v>
      </c>
    </row>
    <row r="1149" spans="2:6" ht="18" customHeight="1">
      <c r="B1149" s="242">
        <f t="shared" si="74"/>
        <v>46071</v>
      </c>
      <c r="C1149" s="123">
        <f t="shared" si="71"/>
        <v>2026</v>
      </c>
      <c r="D1149" s="123">
        <f t="shared" si="72"/>
        <v>2</v>
      </c>
      <c r="E1149" s="123">
        <f t="shared" si="73"/>
        <v>18</v>
      </c>
      <c r="F1149" s="270">
        <v>8438</v>
      </c>
    </row>
    <row r="1150" spans="2:6" ht="18" customHeight="1">
      <c r="B1150" s="242">
        <f t="shared" si="74"/>
        <v>46072</v>
      </c>
      <c r="C1150" s="123">
        <f t="shared" si="71"/>
        <v>2026</v>
      </c>
      <c r="D1150" s="123">
        <f t="shared" si="72"/>
        <v>2</v>
      </c>
      <c r="E1150" s="123">
        <f t="shared" si="73"/>
        <v>19</v>
      </c>
      <c r="F1150" s="270">
        <v>1267</v>
      </c>
    </row>
    <row r="1151" spans="2:6" ht="18" customHeight="1">
      <c r="B1151" s="242">
        <f t="shared" si="74"/>
        <v>46073</v>
      </c>
      <c r="C1151" s="123">
        <f t="shared" si="71"/>
        <v>2026</v>
      </c>
      <c r="D1151" s="123">
        <f t="shared" si="72"/>
        <v>2</v>
      </c>
      <c r="E1151" s="123">
        <f t="shared" si="73"/>
        <v>20</v>
      </c>
      <c r="F1151" s="270">
        <v>10697</v>
      </c>
    </row>
    <row r="1152" spans="2:6" ht="18" customHeight="1">
      <c r="B1152" s="242">
        <f t="shared" si="74"/>
        <v>46074</v>
      </c>
      <c r="C1152" s="123">
        <f t="shared" si="71"/>
        <v>2026</v>
      </c>
      <c r="D1152" s="123">
        <f t="shared" si="72"/>
        <v>2</v>
      </c>
      <c r="E1152" s="123">
        <f t="shared" si="73"/>
        <v>21</v>
      </c>
      <c r="F1152" s="270">
        <v>2237</v>
      </c>
    </row>
    <row r="1153" spans="2:6" ht="18" customHeight="1">
      <c r="B1153" s="242">
        <f t="shared" si="74"/>
        <v>46075</v>
      </c>
      <c r="C1153" s="123">
        <f t="shared" si="71"/>
        <v>2026</v>
      </c>
      <c r="D1153" s="123">
        <f t="shared" si="72"/>
        <v>2</v>
      </c>
      <c r="E1153" s="123">
        <f t="shared" si="73"/>
        <v>22</v>
      </c>
      <c r="F1153" s="270">
        <v>2101</v>
      </c>
    </row>
    <row r="1154" spans="2:6" ht="18" customHeight="1">
      <c r="B1154" s="242">
        <f t="shared" si="74"/>
        <v>46076</v>
      </c>
      <c r="C1154" s="123">
        <f t="shared" si="71"/>
        <v>2026</v>
      </c>
      <c r="D1154" s="123">
        <f t="shared" si="72"/>
        <v>2</v>
      </c>
      <c r="E1154" s="123">
        <f t="shared" si="73"/>
        <v>23</v>
      </c>
      <c r="F1154" s="270">
        <v>4615</v>
      </c>
    </row>
    <row r="1155" spans="2:6" ht="18" customHeight="1">
      <c r="B1155" s="242">
        <f t="shared" si="74"/>
        <v>46077</v>
      </c>
      <c r="C1155" s="123">
        <f t="shared" si="71"/>
        <v>2026</v>
      </c>
      <c r="D1155" s="123">
        <f t="shared" si="72"/>
        <v>2</v>
      </c>
      <c r="E1155" s="123">
        <f t="shared" si="73"/>
        <v>24</v>
      </c>
      <c r="F1155" s="270">
        <v>5084</v>
      </c>
    </row>
    <row r="1156" spans="2:6" ht="18" customHeight="1">
      <c r="B1156" s="242">
        <f t="shared" si="74"/>
        <v>46078</v>
      </c>
      <c r="C1156" s="123">
        <f t="shared" si="71"/>
        <v>2026</v>
      </c>
      <c r="D1156" s="123">
        <f t="shared" si="72"/>
        <v>2</v>
      </c>
      <c r="E1156" s="123">
        <f t="shared" si="73"/>
        <v>25</v>
      </c>
      <c r="F1156" s="270">
        <v>9786</v>
      </c>
    </row>
    <row r="1157" spans="2:6" ht="18" customHeight="1">
      <c r="B1157" s="242">
        <f t="shared" si="74"/>
        <v>46079</v>
      </c>
      <c r="C1157" s="123">
        <f t="shared" si="71"/>
        <v>2026</v>
      </c>
      <c r="D1157" s="123">
        <f t="shared" si="72"/>
        <v>2</v>
      </c>
      <c r="E1157" s="123">
        <f t="shared" si="73"/>
        <v>26</v>
      </c>
      <c r="F1157" s="270">
        <v>5690</v>
      </c>
    </row>
    <row r="1158" spans="2:6" ht="18" customHeight="1">
      <c r="B1158" s="242">
        <f t="shared" si="74"/>
        <v>46080</v>
      </c>
      <c r="C1158" s="123">
        <f t="shared" ref="C1158:C1221" si="75">YEAR(B1158)</f>
        <v>2026</v>
      </c>
      <c r="D1158" s="123">
        <f t="shared" ref="D1158:D1221" si="76">MONTH(B1158)</f>
        <v>2</v>
      </c>
      <c r="E1158" s="123">
        <f t="shared" ref="E1158:E1221" si="77">DAY(B1158)</f>
        <v>27</v>
      </c>
      <c r="F1158" s="270">
        <v>10182</v>
      </c>
    </row>
    <row r="1159" spans="2:6" ht="18" customHeight="1">
      <c r="B1159" s="242">
        <f t="shared" si="74"/>
        <v>46081</v>
      </c>
      <c r="C1159" s="123">
        <f t="shared" si="75"/>
        <v>2026</v>
      </c>
      <c r="D1159" s="123">
        <f t="shared" si="76"/>
        <v>2</v>
      </c>
      <c r="E1159" s="123">
        <f t="shared" si="77"/>
        <v>28</v>
      </c>
      <c r="F1159" s="270">
        <v>3625</v>
      </c>
    </row>
    <row r="1160" spans="2:6" ht="18" customHeight="1">
      <c r="B1160" s="242">
        <f t="shared" si="74"/>
        <v>46082</v>
      </c>
      <c r="C1160" s="123">
        <f t="shared" si="75"/>
        <v>2026</v>
      </c>
      <c r="D1160" s="123">
        <f t="shared" si="76"/>
        <v>3</v>
      </c>
      <c r="E1160" s="123">
        <f t="shared" si="77"/>
        <v>1</v>
      </c>
      <c r="F1160" s="270">
        <v>6378</v>
      </c>
    </row>
    <row r="1161" spans="2:6" ht="18" customHeight="1">
      <c r="B1161" s="242">
        <f t="shared" si="74"/>
        <v>46083</v>
      </c>
      <c r="C1161" s="123">
        <f t="shared" si="75"/>
        <v>2026</v>
      </c>
      <c r="D1161" s="123">
        <f t="shared" si="76"/>
        <v>3</v>
      </c>
      <c r="E1161" s="123">
        <f t="shared" si="77"/>
        <v>2</v>
      </c>
      <c r="F1161" s="270">
        <v>3010</v>
      </c>
    </row>
    <row r="1162" spans="2:6" ht="18" customHeight="1">
      <c r="B1162" s="242">
        <f t="shared" si="74"/>
        <v>46084</v>
      </c>
      <c r="C1162" s="123">
        <f t="shared" si="75"/>
        <v>2026</v>
      </c>
      <c r="D1162" s="123">
        <f t="shared" si="76"/>
        <v>3</v>
      </c>
      <c r="E1162" s="123">
        <f t="shared" si="77"/>
        <v>3</v>
      </c>
      <c r="F1162" s="270">
        <v>3443</v>
      </c>
    </row>
    <row r="1163" spans="2:6" ht="18" customHeight="1">
      <c r="B1163" s="242">
        <f t="shared" si="74"/>
        <v>46085</v>
      </c>
      <c r="C1163" s="123">
        <f t="shared" si="75"/>
        <v>2026</v>
      </c>
      <c r="D1163" s="123">
        <f t="shared" si="76"/>
        <v>3</v>
      </c>
      <c r="E1163" s="123">
        <f t="shared" si="77"/>
        <v>4</v>
      </c>
      <c r="F1163" s="270">
        <v>7005</v>
      </c>
    </row>
    <row r="1164" spans="2:6" ht="18" customHeight="1">
      <c r="B1164" s="242">
        <f t="shared" si="74"/>
        <v>46086</v>
      </c>
      <c r="C1164" s="123">
        <f t="shared" si="75"/>
        <v>2026</v>
      </c>
      <c r="D1164" s="123">
        <f t="shared" si="76"/>
        <v>3</v>
      </c>
      <c r="E1164" s="123">
        <f t="shared" si="77"/>
        <v>5</v>
      </c>
      <c r="F1164" s="270">
        <v>8037</v>
      </c>
    </row>
    <row r="1165" spans="2:6" ht="18" customHeight="1">
      <c r="B1165" s="242">
        <f t="shared" si="74"/>
        <v>46087</v>
      </c>
      <c r="C1165" s="123">
        <f t="shared" si="75"/>
        <v>2026</v>
      </c>
      <c r="D1165" s="123">
        <f t="shared" si="76"/>
        <v>3</v>
      </c>
      <c r="E1165" s="123">
        <f t="shared" si="77"/>
        <v>6</v>
      </c>
      <c r="F1165" s="270">
        <v>7579</v>
      </c>
    </row>
    <row r="1166" spans="2:6" ht="18" customHeight="1">
      <c r="B1166" s="242">
        <f t="shared" si="74"/>
        <v>46088</v>
      </c>
      <c r="C1166" s="123">
        <f t="shared" si="75"/>
        <v>2026</v>
      </c>
      <c r="D1166" s="123">
        <f t="shared" si="76"/>
        <v>3</v>
      </c>
      <c r="E1166" s="123">
        <f t="shared" si="77"/>
        <v>7</v>
      </c>
      <c r="F1166" s="270">
        <v>1293</v>
      </c>
    </row>
    <row r="1167" spans="2:6" ht="18" customHeight="1">
      <c r="B1167" s="242">
        <f t="shared" si="74"/>
        <v>46089</v>
      </c>
      <c r="C1167" s="123">
        <f t="shared" si="75"/>
        <v>2026</v>
      </c>
      <c r="D1167" s="123">
        <f t="shared" si="76"/>
        <v>3</v>
      </c>
      <c r="E1167" s="123">
        <f t="shared" si="77"/>
        <v>8</v>
      </c>
      <c r="F1167" s="270">
        <v>10199</v>
      </c>
    </row>
    <row r="1168" spans="2:6" ht="18" customHeight="1">
      <c r="B1168" s="242">
        <f t="shared" si="74"/>
        <v>46090</v>
      </c>
      <c r="C1168" s="123">
        <f t="shared" si="75"/>
        <v>2026</v>
      </c>
      <c r="D1168" s="123">
        <f t="shared" si="76"/>
        <v>3</v>
      </c>
      <c r="E1168" s="123">
        <f t="shared" si="77"/>
        <v>9</v>
      </c>
      <c r="F1168" s="270">
        <v>6864</v>
      </c>
    </row>
    <row r="1169" spans="2:6" ht="18" customHeight="1">
      <c r="B1169" s="242">
        <f t="shared" si="74"/>
        <v>46091</v>
      </c>
      <c r="C1169" s="123">
        <f t="shared" si="75"/>
        <v>2026</v>
      </c>
      <c r="D1169" s="123">
        <f t="shared" si="76"/>
        <v>3</v>
      </c>
      <c r="E1169" s="123">
        <f t="shared" si="77"/>
        <v>10</v>
      </c>
      <c r="F1169" s="270">
        <v>8249</v>
      </c>
    </row>
    <row r="1170" spans="2:6" ht="18" customHeight="1">
      <c r="B1170" s="242">
        <f t="shared" si="74"/>
        <v>46092</v>
      </c>
      <c r="C1170" s="123">
        <f t="shared" si="75"/>
        <v>2026</v>
      </c>
      <c r="D1170" s="123">
        <f t="shared" si="76"/>
        <v>3</v>
      </c>
      <c r="E1170" s="123">
        <f t="shared" si="77"/>
        <v>11</v>
      </c>
      <c r="F1170" s="270">
        <v>4059</v>
      </c>
    </row>
    <row r="1171" spans="2:6" ht="18" customHeight="1">
      <c r="B1171" s="242">
        <f t="shared" si="74"/>
        <v>46093</v>
      </c>
      <c r="C1171" s="123">
        <f t="shared" si="75"/>
        <v>2026</v>
      </c>
      <c r="D1171" s="123">
        <f t="shared" si="76"/>
        <v>3</v>
      </c>
      <c r="E1171" s="123">
        <f t="shared" si="77"/>
        <v>12</v>
      </c>
      <c r="F1171" s="270">
        <v>7430</v>
      </c>
    </row>
    <row r="1172" spans="2:6" ht="18" customHeight="1">
      <c r="B1172" s="242">
        <f t="shared" si="74"/>
        <v>46094</v>
      </c>
      <c r="C1172" s="123">
        <f t="shared" si="75"/>
        <v>2026</v>
      </c>
      <c r="D1172" s="123">
        <f t="shared" si="76"/>
        <v>3</v>
      </c>
      <c r="E1172" s="123">
        <f t="shared" si="77"/>
        <v>13</v>
      </c>
      <c r="F1172" s="270">
        <v>5905</v>
      </c>
    </row>
    <row r="1173" spans="2:6" ht="18" customHeight="1">
      <c r="B1173" s="242">
        <f t="shared" si="74"/>
        <v>46095</v>
      </c>
      <c r="C1173" s="123">
        <f t="shared" si="75"/>
        <v>2026</v>
      </c>
      <c r="D1173" s="123">
        <f t="shared" si="76"/>
        <v>3</v>
      </c>
      <c r="E1173" s="123">
        <f t="shared" si="77"/>
        <v>14</v>
      </c>
      <c r="F1173" s="270">
        <v>5963</v>
      </c>
    </row>
    <row r="1174" spans="2:6" ht="18" customHeight="1">
      <c r="B1174" s="242">
        <f t="shared" si="74"/>
        <v>46096</v>
      </c>
      <c r="C1174" s="123">
        <f t="shared" si="75"/>
        <v>2026</v>
      </c>
      <c r="D1174" s="123">
        <f t="shared" si="76"/>
        <v>3</v>
      </c>
      <c r="E1174" s="123">
        <f t="shared" si="77"/>
        <v>15</v>
      </c>
      <c r="F1174" s="270">
        <v>9288</v>
      </c>
    </row>
    <row r="1175" spans="2:6" ht="18" customHeight="1">
      <c r="B1175" s="242">
        <f t="shared" si="74"/>
        <v>46097</v>
      </c>
      <c r="C1175" s="123">
        <f t="shared" si="75"/>
        <v>2026</v>
      </c>
      <c r="D1175" s="123">
        <f t="shared" si="76"/>
        <v>3</v>
      </c>
      <c r="E1175" s="123">
        <f t="shared" si="77"/>
        <v>16</v>
      </c>
      <c r="F1175" s="270">
        <v>8714</v>
      </c>
    </row>
    <row r="1176" spans="2:6" ht="18" customHeight="1">
      <c r="B1176" s="242">
        <f t="shared" si="74"/>
        <v>46098</v>
      </c>
      <c r="C1176" s="123">
        <f t="shared" si="75"/>
        <v>2026</v>
      </c>
      <c r="D1176" s="123">
        <f t="shared" si="76"/>
        <v>3</v>
      </c>
      <c r="E1176" s="123">
        <f t="shared" si="77"/>
        <v>17</v>
      </c>
      <c r="F1176" s="270">
        <v>4103</v>
      </c>
    </row>
    <row r="1177" spans="2:6" ht="18" customHeight="1">
      <c r="B1177" s="242">
        <f t="shared" si="74"/>
        <v>46099</v>
      </c>
      <c r="C1177" s="123">
        <f t="shared" si="75"/>
        <v>2026</v>
      </c>
      <c r="D1177" s="123">
        <f t="shared" si="76"/>
        <v>3</v>
      </c>
      <c r="E1177" s="123">
        <f t="shared" si="77"/>
        <v>18</v>
      </c>
      <c r="F1177" s="270">
        <v>2391</v>
      </c>
    </row>
    <row r="1178" spans="2:6" ht="18" customHeight="1">
      <c r="B1178" s="242">
        <f t="shared" si="74"/>
        <v>46100</v>
      </c>
      <c r="C1178" s="123">
        <f t="shared" si="75"/>
        <v>2026</v>
      </c>
      <c r="D1178" s="123">
        <f t="shared" si="76"/>
        <v>3</v>
      </c>
      <c r="E1178" s="123">
        <f t="shared" si="77"/>
        <v>19</v>
      </c>
      <c r="F1178" s="270">
        <v>1844</v>
      </c>
    </row>
    <row r="1179" spans="2:6" ht="18" customHeight="1">
      <c r="B1179" s="242">
        <f t="shared" si="74"/>
        <v>46101</v>
      </c>
      <c r="C1179" s="123">
        <f t="shared" si="75"/>
        <v>2026</v>
      </c>
      <c r="D1179" s="123">
        <f t="shared" si="76"/>
        <v>3</v>
      </c>
      <c r="E1179" s="123">
        <f t="shared" si="77"/>
        <v>20</v>
      </c>
      <c r="F1179" s="270">
        <v>8044</v>
      </c>
    </row>
    <row r="1180" spans="2:6" ht="18" customHeight="1">
      <c r="B1180" s="242">
        <f t="shared" si="74"/>
        <v>46102</v>
      </c>
      <c r="C1180" s="123">
        <f t="shared" si="75"/>
        <v>2026</v>
      </c>
      <c r="D1180" s="123">
        <f t="shared" si="76"/>
        <v>3</v>
      </c>
      <c r="E1180" s="123">
        <f t="shared" si="77"/>
        <v>21</v>
      </c>
      <c r="F1180" s="270">
        <v>5358</v>
      </c>
    </row>
    <row r="1181" spans="2:6" ht="18" customHeight="1">
      <c r="B1181" s="242">
        <f t="shared" si="74"/>
        <v>46103</v>
      </c>
      <c r="C1181" s="123">
        <f t="shared" si="75"/>
        <v>2026</v>
      </c>
      <c r="D1181" s="123">
        <f t="shared" si="76"/>
        <v>3</v>
      </c>
      <c r="E1181" s="123">
        <f t="shared" si="77"/>
        <v>22</v>
      </c>
      <c r="F1181" s="270">
        <v>5883</v>
      </c>
    </row>
    <row r="1182" spans="2:6" ht="18" customHeight="1">
      <c r="B1182" s="242">
        <f t="shared" si="74"/>
        <v>46104</v>
      </c>
      <c r="C1182" s="123">
        <f t="shared" si="75"/>
        <v>2026</v>
      </c>
      <c r="D1182" s="123">
        <f t="shared" si="76"/>
        <v>3</v>
      </c>
      <c r="E1182" s="123">
        <f t="shared" si="77"/>
        <v>23</v>
      </c>
      <c r="F1182" s="270">
        <v>6228</v>
      </c>
    </row>
    <row r="1183" spans="2:6" ht="18" customHeight="1">
      <c r="B1183" s="242">
        <f t="shared" si="74"/>
        <v>46105</v>
      </c>
      <c r="C1183" s="123">
        <f t="shared" si="75"/>
        <v>2026</v>
      </c>
      <c r="D1183" s="123">
        <f t="shared" si="76"/>
        <v>3</v>
      </c>
      <c r="E1183" s="123">
        <f t="shared" si="77"/>
        <v>24</v>
      </c>
      <c r="F1183" s="270">
        <v>5392</v>
      </c>
    </row>
    <row r="1184" spans="2:6" ht="18" customHeight="1">
      <c r="B1184" s="242">
        <f t="shared" si="74"/>
        <v>46106</v>
      </c>
      <c r="C1184" s="123">
        <f t="shared" si="75"/>
        <v>2026</v>
      </c>
      <c r="D1184" s="123">
        <f t="shared" si="76"/>
        <v>3</v>
      </c>
      <c r="E1184" s="123">
        <f t="shared" si="77"/>
        <v>25</v>
      </c>
      <c r="F1184" s="270">
        <v>4512</v>
      </c>
    </row>
    <row r="1185" spans="2:6" ht="18" customHeight="1">
      <c r="B1185" s="242">
        <f t="shared" si="74"/>
        <v>46107</v>
      </c>
      <c r="C1185" s="123">
        <f t="shared" si="75"/>
        <v>2026</v>
      </c>
      <c r="D1185" s="123">
        <f t="shared" si="76"/>
        <v>3</v>
      </c>
      <c r="E1185" s="123">
        <f t="shared" si="77"/>
        <v>26</v>
      </c>
      <c r="F1185" s="270">
        <v>10978</v>
      </c>
    </row>
    <row r="1186" spans="2:6" ht="18" customHeight="1">
      <c r="B1186" s="242">
        <f t="shared" si="74"/>
        <v>46108</v>
      </c>
      <c r="C1186" s="123">
        <f t="shared" si="75"/>
        <v>2026</v>
      </c>
      <c r="D1186" s="123">
        <f t="shared" si="76"/>
        <v>3</v>
      </c>
      <c r="E1186" s="123">
        <f t="shared" si="77"/>
        <v>27</v>
      </c>
      <c r="F1186" s="270">
        <v>6907</v>
      </c>
    </row>
    <row r="1187" spans="2:6" ht="18" customHeight="1">
      <c r="B1187" s="242">
        <f t="shared" si="74"/>
        <v>46109</v>
      </c>
      <c r="C1187" s="123">
        <f t="shared" si="75"/>
        <v>2026</v>
      </c>
      <c r="D1187" s="123">
        <f t="shared" si="76"/>
        <v>3</v>
      </c>
      <c r="E1187" s="123">
        <f t="shared" si="77"/>
        <v>28</v>
      </c>
      <c r="F1187" s="270">
        <v>3316</v>
      </c>
    </row>
    <row r="1188" spans="2:6" ht="18" customHeight="1">
      <c r="B1188" s="242">
        <f t="shared" si="74"/>
        <v>46110</v>
      </c>
      <c r="C1188" s="123">
        <f t="shared" si="75"/>
        <v>2026</v>
      </c>
      <c r="D1188" s="123">
        <f t="shared" si="76"/>
        <v>3</v>
      </c>
      <c r="E1188" s="123">
        <f t="shared" si="77"/>
        <v>29</v>
      </c>
      <c r="F1188" s="270">
        <v>9091</v>
      </c>
    </row>
    <row r="1189" spans="2:6" ht="18" customHeight="1">
      <c r="B1189" s="242">
        <f t="shared" si="74"/>
        <v>46111</v>
      </c>
      <c r="C1189" s="123">
        <f t="shared" si="75"/>
        <v>2026</v>
      </c>
      <c r="D1189" s="123">
        <f t="shared" si="76"/>
        <v>3</v>
      </c>
      <c r="E1189" s="123">
        <f t="shared" si="77"/>
        <v>30</v>
      </c>
      <c r="F1189" s="270">
        <v>4529</v>
      </c>
    </row>
    <row r="1190" spans="2:6" ht="18" customHeight="1">
      <c r="B1190" s="242">
        <f t="shared" si="74"/>
        <v>46112</v>
      </c>
      <c r="C1190" s="123">
        <f t="shared" si="75"/>
        <v>2026</v>
      </c>
      <c r="D1190" s="123">
        <f t="shared" si="76"/>
        <v>3</v>
      </c>
      <c r="E1190" s="123">
        <f t="shared" si="77"/>
        <v>31</v>
      </c>
      <c r="F1190" s="270">
        <v>8234</v>
      </c>
    </row>
    <row r="1191" spans="2:6" ht="18" customHeight="1">
      <c r="B1191" s="242">
        <f t="shared" si="74"/>
        <v>46113</v>
      </c>
      <c r="C1191" s="123">
        <f t="shared" si="75"/>
        <v>2026</v>
      </c>
      <c r="D1191" s="123">
        <f t="shared" si="76"/>
        <v>4</v>
      </c>
      <c r="E1191" s="123">
        <f t="shared" si="77"/>
        <v>1</v>
      </c>
      <c r="F1191" s="270">
        <v>10852</v>
      </c>
    </row>
    <row r="1192" spans="2:6" ht="18" customHeight="1">
      <c r="B1192" s="242">
        <f t="shared" si="74"/>
        <v>46114</v>
      </c>
      <c r="C1192" s="123">
        <f t="shared" si="75"/>
        <v>2026</v>
      </c>
      <c r="D1192" s="123">
        <f t="shared" si="76"/>
        <v>4</v>
      </c>
      <c r="E1192" s="123">
        <f t="shared" si="77"/>
        <v>2</v>
      </c>
      <c r="F1192" s="270">
        <v>3247</v>
      </c>
    </row>
    <row r="1193" spans="2:6" ht="18" customHeight="1">
      <c r="B1193" s="242">
        <f t="shared" si="74"/>
        <v>46115</v>
      </c>
      <c r="C1193" s="123">
        <f t="shared" si="75"/>
        <v>2026</v>
      </c>
      <c r="D1193" s="123">
        <f t="shared" si="76"/>
        <v>4</v>
      </c>
      <c r="E1193" s="123">
        <f t="shared" si="77"/>
        <v>3</v>
      </c>
      <c r="F1193" s="270">
        <v>7188</v>
      </c>
    </row>
    <row r="1194" spans="2:6" ht="18" customHeight="1">
      <c r="B1194" s="242">
        <f t="shared" si="74"/>
        <v>46116</v>
      </c>
      <c r="C1194" s="123">
        <f t="shared" si="75"/>
        <v>2026</v>
      </c>
      <c r="D1194" s="123">
        <f t="shared" si="76"/>
        <v>4</v>
      </c>
      <c r="E1194" s="123">
        <f t="shared" si="77"/>
        <v>4</v>
      </c>
      <c r="F1194" s="270">
        <v>9774</v>
      </c>
    </row>
    <row r="1195" spans="2:6" ht="18" customHeight="1">
      <c r="B1195" s="242">
        <f t="shared" si="74"/>
        <v>46117</v>
      </c>
      <c r="C1195" s="123">
        <f t="shared" si="75"/>
        <v>2026</v>
      </c>
      <c r="D1195" s="123">
        <f t="shared" si="76"/>
        <v>4</v>
      </c>
      <c r="E1195" s="123">
        <f t="shared" si="77"/>
        <v>5</v>
      </c>
      <c r="F1195" s="270">
        <v>3322</v>
      </c>
    </row>
    <row r="1196" spans="2:6" ht="18" customHeight="1">
      <c r="B1196" s="242">
        <f t="shared" si="74"/>
        <v>46118</v>
      </c>
      <c r="C1196" s="123">
        <f t="shared" si="75"/>
        <v>2026</v>
      </c>
      <c r="D1196" s="123">
        <f t="shared" si="76"/>
        <v>4</v>
      </c>
      <c r="E1196" s="123">
        <f t="shared" si="77"/>
        <v>6</v>
      </c>
      <c r="F1196" s="270">
        <v>8499</v>
      </c>
    </row>
    <row r="1197" spans="2:6" ht="18" customHeight="1">
      <c r="B1197" s="242">
        <f t="shared" si="74"/>
        <v>46119</v>
      </c>
      <c r="C1197" s="123">
        <f t="shared" si="75"/>
        <v>2026</v>
      </c>
      <c r="D1197" s="123">
        <f t="shared" si="76"/>
        <v>4</v>
      </c>
      <c r="E1197" s="123">
        <f t="shared" si="77"/>
        <v>7</v>
      </c>
      <c r="F1197" s="270">
        <v>8613</v>
      </c>
    </row>
    <row r="1198" spans="2:6" ht="18" customHeight="1">
      <c r="B1198" s="242">
        <f t="shared" si="74"/>
        <v>46120</v>
      </c>
      <c r="C1198" s="123">
        <f t="shared" si="75"/>
        <v>2026</v>
      </c>
      <c r="D1198" s="123">
        <f t="shared" si="76"/>
        <v>4</v>
      </c>
      <c r="E1198" s="123">
        <f t="shared" si="77"/>
        <v>8</v>
      </c>
      <c r="F1198" s="270">
        <v>9070</v>
      </c>
    </row>
    <row r="1199" spans="2:6" ht="18" customHeight="1">
      <c r="B1199" s="242">
        <f t="shared" si="74"/>
        <v>46121</v>
      </c>
      <c r="C1199" s="123">
        <f t="shared" si="75"/>
        <v>2026</v>
      </c>
      <c r="D1199" s="123">
        <f t="shared" si="76"/>
        <v>4</v>
      </c>
      <c r="E1199" s="123">
        <f t="shared" si="77"/>
        <v>9</v>
      </c>
      <c r="F1199" s="270">
        <v>4406</v>
      </c>
    </row>
    <row r="1200" spans="2:6" ht="18" customHeight="1">
      <c r="B1200" s="242">
        <f t="shared" si="74"/>
        <v>46122</v>
      </c>
      <c r="C1200" s="123">
        <f t="shared" si="75"/>
        <v>2026</v>
      </c>
      <c r="D1200" s="123">
        <f t="shared" si="76"/>
        <v>4</v>
      </c>
      <c r="E1200" s="123">
        <f t="shared" si="77"/>
        <v>10</v>
      </c>
      <c r="F1200" s="270">
        <v>3357</v>
      </c>
    </row>
    <row r="1201" spans="2:6" ht="18" customHeight="1">
      <c r="B1201" s="242">
        <f t="shared" si="74"/>
        <v>46123</v>
      </c>
      <c r="C1201" s="123">
        <f t="shared" si="75"/>
        <v>2026</v>
      </c>
      <c r="D1201" s="123">
        <f t="shared" si="76"/>
        <v>4</v>
      </c>
      <c r="E1201" s="123">
        <f t="shared" si="77"/>
        <v>11</v>
      </c>
      <c r="F1201" s="270">
        <v>4170</v>
      </c>
    </row>
    <row r="1202" spans="2:6" ht="18" customHeight="1">
      <c r="B1202" s="242">
        <f t="shared" si="74"/>
        <v>46124</v>
      </c>
      <c r="C1202" s="123">
        <f t="shared" si="75"/>
        <v>2026</v>
      </c>
      <c r="D1202" s="123">
        <f t="shared" si="76"/>
        <v>4</v>
      </c>
      <c r="E1202" s="123">
        <f t="shared" si="77"/>
        <v>12</v>
      </c>
      <c r="F1202" s="270">
        <v>3742</v>
      </c>
    </row>
    <row r="1203" spans="2:6" ht="18" customHeight="1">
      <c r="B1203" s="242">
        <f t="shared" si="74"/>
        <v>46125</v>
      </c>
      <c r="C1203" s="123">
        <f t="shared" si="75"/>
        <v>2026</v>
      </c>
      <c r="D1203" s="123">
        <f t="shared" si="76"/>
        <v>4</v>
      </c>
      <c r="E1203" s="123">
        <f t="shared" si="77"/>
        <v>13</v>
      </c>
      <c r="F1203" s="270">
        <v>4558</v>
      </c>
    </row>
    <row r="1204" spans="2:6" ht="18" customHeight="1">
      <c r="B1204" s="242">
        <f t="shared" ref="B1204:B1267" si="78">+B1203+1</f>
        <v>46126</v>
      </c>
      <c r="C1204" s="123">
        <f t="shared" si="75"/>
        <v>2026</v>
      </c>
      <c r="D1204" s="123">
        <f t="shared" si="76"/>
        <v>4</v>
      </c>
      <c r="E1204" s="123">
        <f t="shared" si="77"/>
        <v>14</v>
      </c>
      <c r="F1204" s="270">
        <v>3959</v>
      </c>
    </row>
    <row r="1205" spans="2:6" ht="18" customHeight="1">
      <c r="B1205" s="242">
        <f t="shared" si="78"/>
        <v>46127</v>
      </c>
      <c r="C1205" s="123">
        <f t="shared" si="75"/>
        <v>2026</v>
      </c>
      <c r="D1205" s="123">
        <f t="shared" si="76"/>
        <v>4</v>
      </c>
      <c r="E1205" s="123">
        <f t="shared" si="77"/>
        <v>15</v>
      </c>
      <c r="F1205" s="270">
        <v>4529</v>
      </c>
    </row>
    <row r="1206" spans="2:6" ht="18" customHeight="1">
      <c r="B1206" s="242">
        <f t="shared" si="78"/>
        <v>46128</v>
      </c>
      <c r="C1206" s="123">
        <f t="shared" si="75"/>
        <v>2026</v>
      </c>
      <c r="D1206" s="123">
        <f t="shared" si="76"/>
        <v>4</v>
      </c>
      <c r="E1206" s="123">
        <f t="shared" si="77"/>
        <v>16</v>
      </c>
      <c r="F1206" s="270">
        <v>10046</v>
      </c>
    </row>
    <row r="1207" spans="2:6" ht="18" customHeight="1">
      <c r="B1207" s="242">
        <f t="shared" si="78"/>
        <v>46129</v>
      </c>
      <c r="C1207" s="123">
        <f t="shared" si="75"/>
        <v>2026</v>
      </c>
      <c r="D1207" s="123">
        <f t="shared" si="76"/>
        <v>4</v>
      </c>
      <c r="E1207" s="123">
        <f t="shared" si="77"/>
        <v>17</v>
      </c>
      <c r="F1207" s="270">
        <v>6584</v>
      </c>
    </row>
    <row r="1208" spans="2:6" ht="18" customHeight="1">
      <c r="B1208" s="242">
        <f t="shared" si="78"/>
        <v>46130</v>
      </c>
      <c r="C1208" s="123">
        <f t="shared" si="75"/>
        <v>2026</v>
      </c>
      <c r="D1208" s="123">
        <f t="shared" si="76"/>
        <v>4</v>
      </c>
      <c r="E1208" s="123">
        <f t="shared" si="77"/>
        <v>18</v>
      </c>
      <c r="F1208" s="270">
        <v>6252</v>
      </c>
    </row>
    <row r="1209" spans="2:6" ht="18" customHeight="1">
      <c r="B1209" s="242">
        <f t="shared" si="78"/>
        <v>46131</v>
      </c>
      <c r="C1209" s="123">
        <f t="shared" si="75"/>
        <v>2026</v>
      </c>
      <c r="D1209" s="123">
        <f t="shared" si="76"/>
        <v>4</v>
      </c>
      <c r="E1209" s="123">
        <f t="shared" si="77"/>
        <v>19</v>
      </c>
      <c r="F1209" s="270">
        <v>3163</v>
      </c>
    </row>
    <row r="1210" spans="2:6" ht="18" customHeight="1">
      <c r="B1210" s="242">
        <f t="shared" si="78"/>
        <v>46132</v>
      </c>
      <c r="C1210" s="123">
        <f t="shared" si="75"/>
        <v>2026</v>
      </c>
      <c r="D1210" s="123">
        <f t="shared" si="76"/>
        <v>4</v>
      </c>
      <c r="E1210" s="123">
        <f t="shared" si="77"/>
        <v>20</v>
      </c>
      <c r="F1210" s="270">
        <v>1454</v>
      </c>
    </row>
    <row r="1211" spans="2:6" ht="18" customHeight="1">
      <c r="B1211" s="242">
        <f t="shared" si="78"/>
        <v>46133</v>
      </c>
      <c r="C1211" s="123">
        <f t="shared" si="75"/>
        <v>2026</v>
      </c>
      <c r="D1211" s="123">
        <f t="shared" si="76"/>
        <v>4</v>
      </c>
      <c r="E1211" s="123">
        <f t="shared" si="77"/>
        <v>21</v>
      </c>
      <c r="F1211" s="270">
        <v>6465</v>
      </c>
    </row>
    <row r="1212" spans="2:6" ht="18" customHeight="1">
      <c r="B1212" s="242">
        <f t="shared" si="78"/>
        <v>46134</v>
      </c>
      <c r="C1212" s="123">
        <f t="shared" si="75"/>
        <v>2026</v>
      </c>
      <c r="D1212" s="123">
        <f t="shared" si="76"/>
        <v>4</v>
      </c>
      <c r="E1212" s="123">
        <f t="shared" si="77"/>
        <v>22</v>
      </c>
      <c r="F1212" s="270">
        <v>3412</v>
      </c>
    </row>
    <row r="1213" spans="2:6" ht="18" customHeight="1">
      <c r="B1213" s="242">
        <f t="shared" si="78"/>
        <v>46135</v>
      </c>
      <c r="C1213" s="123">
        <f t="shared" si="75"/>
        <v>2026</v>
      </c>
      <c r="D1213" s="123">
        <f t="shared" si="76"/>
        <v>4</v>
      </c>
      <c r="E1213" s="123">
        <f t="shared" si="77"/>
        <v>23</v>
      </c>
      <c r="F1213" s="270">
        <v>10728</v>
      </c>
    </row>
    <row r="1214" spans="2:6" ht="18" customHeight="1">
      <c r="B1214" s="242">
        <f t="shared" si="78"/>
        <v>46136</v>
      </c>
      <c r="C1214" s="123">
        <f t="shared" si="75"/>
        <v>2026</v>
      </c>
      <c r="D1214" s="123">
        <f t="shared" si="76"/>
        <v>4</v>
      </c>
      <c r="E1214" s="123">
        <f t="shared" si="77"/>
        <v>24</v>
      </c>
      <c r="F1214" s="270">
        <v>5488</v>
      </c>
    </row>
    <row r="1215" spans="2:6" ht="18" customHeight="1">
      <c r="B1215" s="242">
        <f t="shared" si="78"/>
        <v>46137</v>
      </c>
      <c r="C1215" s="123">
        <f t="shared" si="75"/>
        <v>2026</v>
      </c>
      <c r="D1215" s="123">
        <f t="shared" si="76"/>
        <v>4</v>
      </c>
      <c r="E1215" s="123">
        <f t="shared" si="77"/>
        <v>25</v>
      </c>
      <c r="F1215" s="270">
        <v>3992</v>
      </c>
    </row>
    <row r="1216" spans="2:6" ht="18" customHeight="1">
      <c r="B1216" s="242">
        <f t="shared" si="78"/>
        <v>46138</v>
      </c>
      <c r="C1216" s="123">
        <f t="shared" si="75"/>
        <v>2026</v>
      </c>
      <c r="D1216" s="123">
        <f t="shared" si="76"/>
        <v>4</v>
      </c>
      <c r="E1216" s="123">
        <f t="shared" si="77"/>
        <v>26</v>
      </c>
      <c r="F1216" s="270">
        <v>1953</v>
      </c>
    </row>
    <row r="1217" spans="2:6" ht="18" customHeight="1">
      <c r="B1217" s="242">
        <f t="shared" si="78"/>
        <v>46139</v>
      </c>
      <c r="C1217" s="123">
        <f t="shared" si="75"/>
        <v>2026</v>
      </c>
      <c r="D1217" s="123">
        <f t="shared" si="76"/>
        <v>4</v>
      </c>
      <c r="E1217" s="123">
        <f t="shared" si="77"/>
        <v>27</v>
      </c>
      <c r="F1217" s="270">
        <v>2156</v>
      </c>
    </row>
    <row r="1218" spans="2:6" ht="18" customHeight="1">
      <c r="B1218" s="242">
        <f t="shared" si="78"/>
        <v>46140</v>
      </c>
      <c r="C1218" s="123">
        <f t="shared" si="75"/>
        <v>2026</v>
      </c>
      <c r="D1218" s="123">
        <f t="shared" si="76"/>
        <v>4</v>
      </c>
      <c r="E1218" s="123">
        <f t="shared" si="77"/>
        <v>28</v>
      </c>
      <c r="F1218" s="270">
        <v>8815</v>
      </c>
    </row>
    <row r="1219" spans="2:6" ht="18" customHeight="1">
      <c r="B1219" s="242">
        <f t="shared" si="78"/>
        <v>46141</v>
      </c>
      <c r="C1219" s="123">
        <f t="shared" si="75"/>
        <v>2026</v>
      </c>
      <c r="D1219" s="123">
        <f t="shared" si="76"/>
        <v>4</v>
      </c>
      <c r="E1219" s="123">
        <f t="shared" si="77"/>
        <v>29</v>
      </c>
      <c r="F1219" s="270">
        <v>3563</v>
      </c>
    </row>
    <row r="1220" spans="2:6" ht="18" customHeight="1">
      <c r="B1220" s="242">
        <f t="shared" si="78"/>
        <v>46142</v>
      </c>
      <c r="C1220" s="123">
        <f t="shared" si="75"/>
        <v>2026</v>
      </c>
      <c r="D1220" s="123">
        <f t="shared" si="76"/>
        <v>4</v>
      </c>
      <c r="E1220" s="123">
        <f t="shared" si="77"/>
        <v>30</v>
      </c>
      <c r="F1220" s="270">
        <v>1832</v>
      </c>
    </row>
    <row r="1221" spans="2:6" ht="18" customHeight="1">
      <c r="B1221" s="242">
        <f t="shared" si="78"/>
        <v>46143</v>
      </c>
      <c r="C1221" s="123">
        <f t="shared" si="75"/>
        <v>2026</v>
      </c>
      <c r="D1221" s="123">
        <f t="shared" si="76"/>
        <v>5</v>
      </c>
      <c r="E1221" s="123">
        <f t="shared" si="77"/>
        <v>1</v>
      </c>
      <c r="F1221" s="270">
        <v>11009</v>
      </c>
    </row>
    <row r="1222" spans="2:6" ht="18" customHeight="1">
      <c r="B1222" s="242">
        <f t="shared" si="78"/>
        <v>46144</v>
      </c>
      <c r="C1222" s="123">
        <f t="shared" ref="C1222:C1285" si="79">YEAR(B1222)</f>
        <v>2026</v>
      </c>
      <c r="D1222" s="123">
        <f t="shared" ref="D1222:D1285" si="80">MONTH(B1222)</f>
        <v>5</v>
      </c>
      <c r="E1222" s="123">
        <f t="shared" ref="E1222:E1285" si="81">DAY(B1222)</f>
        <v>2</v>
      </c>
      <c r="F1222" s="270">
        <v>7174</v>
      </c>
    </row>
    <row r="1223" spans="2:6" ht="18" customHeight="1">
      <c r="B1223" s="242">
        <f t="shared" si="78"/>
        <v>46145</v>
      </c>
      <c r="C1223" s="123">
        <f t="shared" si="79"/>
        <v>2026</v>
      </c>
      <c r="D1223" s="123">
        <f t="shared" si="80"/>
        <v>5</v>
      </c>
      <c r="E1223" s="123">
        <f t="shared" si="81"/>
        <v>3</v>
      </c>
      <c r="F1223" s="270">
        <v>10551</v>
      </c>
    </row>
    <row r="1224" spans="2:6" ht="18" customHeight="1">
      <c r="B1224" s="242">
        <f t="shared" si="78"/>
        <v>46146</v>
      </c>
      <c r="C1224" s="123">
        <f t="shared" si="79"/>
        <v>2026</v>
      </c>
      <c r="D1224" s="123">
        <f t="shared" si="80"/>
        <v>5</v>
      </c>
      <c r="E1224" s="123">
        <f t="shared" si="81"/>
        <v>4</v>
      </c>
      <c r="F1224" s="270">
        <v>1708</v>
      </c>
    </row>
    <row r="1225" spans="2:6" ht="18" customHeight="1">
      <c r="B1225" s="242">
        <f t="shared" si="78"/>
        <v>46147</v>
      </c>
      <c r="C1225" s="123">
        <f t="shared" si="79"/>
        <v>2026</v>
      </c>
      <c r="D1225" s="123">
        <f t="shared" si="80"/>
        <v>5</v>
      </c>
      <c r="E1225" s="123">
        <f t="shared" si="81"/>
        <v>5</v>
      </c>
      <c r="F1225" s="270">
        <v>9169</v>
      </c>
    </row>
    <row r="1226" spans="2:6" ht="18" customHeight="1">
      <c r="B1226" s="242">
        <f t="shared" si="78"/>
        <v>46148</v>
      </c>
      <c r="C1226" s="123">
        <f t="shared" si="79"/>
        <v>2026</v>
      </c>
      <c r="D1226" s="123">
        <f t="shared" si="80"/>
        <v>5</v>
      </c>
      <c r="E1226" s="123">
        <f t="shared" si="81"/>
        <v>6</v>
      </c>
      <c r="F1226" s="270">
        <v>1671</v>
      </c>
    </row>
    <row r="1227" spans="2:6" ht="18" customHeight="1">
      <c r="B1227" s="242">
        <f t="shared" si="78"/>
        <v>46149</v>
      </c>
      <c r="C1227" s="123">
        <f t="shared" si="79"/>
        <v>2026</v>
      </c>
      <c r="D1227" s="123">
        <f t="shared" si="80"/>
        <v>5</v>
      </c>
      <c r="E1227" s="123">
        <f t="shared" si="81"/>
        <v>7</v>
      </c>
      <c r="F1227" s="270">
        <v>7923</v>
      </c>
    </row>
    <row r="1228" spans="2:6" ht="18" customHeight="1">
      <c r="B1228" s="242">
        <f t="shared" si="78"/>
        <v>46150</v>
      </c>
      <c r="C1228" s="123">
        <f t="shared" si="79"/>
        <v>2026</v>
      </c>
      <c r="D1228" s="123">
        <f t="shared" si="80"/>
        <v>5</v>
      </c>
      <c r="E1228" s="123">
        <f t="shared" si="81"/>
        <v>8</v>
      </c>
      <c r="F1228" s="270">
        <v>4362</v>
      </c>
    </row>
    <row r="1229" spans="2:6" ht="18" customHeight="1">
      <c r="B1229" s="242">
        <f t="shared" si="78"/>
        <v>46151</v>
      </c>
      <c r="C1229" s="123">
        <f t="shared" si="79"/>
        <v>2026</v>
      </c>
      <c r="D1229" s="123">
        <f t="shared" si="80"/>
        <v>5</v>
      </c>
      <c r="E1229" s="123">
        <f t="shared" si="81"/>
        <v>9</v>
      </c>
      <c r="F1229" s="270">
        <v>5994</v>
      </c>
    </row>
    <row r="1230" spans="2:6" ht="18" customHeight="1">
      <c r="B1230" s="242">
        <f t="shared" si="78"/>
        <v>46152</v>
      </c>
      <c r="C1230" s="123">
        <f t="shared" si="79"/>
        <v>2026</v>
      </c>
      <c r="D1230" s="123">
        <f t="shared" si="80"/>
        <v>5</v>
      </c>
      <c r="E1230" s="123">
        <f t="shared" si="81"/>
        <v>10</v>
      </c>
      <c r="F1230" s="270">
        <v>1615</v>
      </c>
    </row>
    <row r="1231" spans="2:6" ht="18" customHeight="1">
      <c r="B1231" s="242">
        <f t="shared" si="78"/>
        <v>46153</v>
      </c>
      <c r="C1231" s="123">
        <f t="shared" si="79"/>
        <v>2026</v>
      </c>
      <c r="D1231" s="123">
        <f t="shared" si="80"/>
        <v>5</v>
      </c>
      <c r="E1231" s="123">
        <f t="shared" si="81"/>
        <v>11</v>
      </c>
      <c r="F1231" s="270">
        <v>7565</v>
      </c>
    </row>
    <row r="1232" spans="2:6" ht="18" customHeight="1">
      <c r="B1232" s="242">
        <f t="shared" si="78"/>
        <v>46154</v>
      </c>
      <c r="C1232" s="123">
        <f t="shared" si="79"/>
        <v>2026</v>
      </c>
      <c r="D1232" s="123">
        <f t="shared" si="80"/>
        <v>5</v>
      </c>
      <c r="E1232" s="123">
        <f t="shared" si="81"/>
        <v>12</v>
      </c>
      <c r="F1232" s="270">
        <v>5619</v>
      </c>
    </row>
    <row r="1233" spans="2:6" ht="18" customHeight="1">
      <c r="B1233" s="242">
        <f t="shared" si="78"/>
        <v>46155</v>
      </c>
      <c r="C1233" s="123">
        <f t="shared" si="79"/>
        <v>2026</v>
      </c>
      <c r="D1233" s="123">
        <f t="shared" si="80"/>
        <v>5</v>
      </c>
      <c r="E1233" s="123">
        <f t="shared" si="81"/>
        <v>13</v>
      </c>
      <c r="F1233" s="270">
        <v>5708</v>
      </c>
    </row>
    <row r="1234" spans="2:6" ht="18" customHeight="1">
      <c r="B1234" s="242">
        <f t="shared" si="78"/>
        <v>46156</v>
      </c>
      <c r="C1234" s="123">
        <f t="shared" si="79"/>
        <v>2026</v>
      </c>
      <c r="D1234" s="123">
        <f t="shared" si="80"/>
        <v>5</v>
      </c>
      <c r="E1234" s="123">
        <f t="shared" si="81"/>
        <v>14</v>
      </c>
      <c r="F1234" s="270">
        <v>9285</v>
      </c>
    </row>
    <row r="1235" spans="2:6" ht="18" customHeight="1">
      <c r="B1235" s="242">
        <f t="shared" si="78"/>
        <v>46157</v>
      </c>
      <c r="C1235" s="123">
        <f t="shared" si="79"/>
        <v>2026</v>
      </c>
      <c r="D1235" s="123">
        <f t="shared" si="80"/>
        <v>5</v>
      </c>
      <c r="E1235" s="123">
        <f t="shared" si="81"/>
        <v>15</v>
      </c>
      <c r="F1235" s="270">
        <v>7497</v>
      </c>
    </row>
    <row r="1236" spans="2:6" ht="18" customHeight="1">
      <c r="B1236" s="242">
        <f t="shared" si="78"/>
        <v>46158</v>
      </c>
      <c r="C1236" s="123">
        <f t="shared" si="79"/>
        <v>2026</v>
      </c>
      <c r="D1236" s="123">
        <f t="shared" si="80"/>
        <v>5</v>
      </c>
      <c r="E1236" s="123">
        <f t="shared" si="81"/>
        <v>16</v>
      </c>
      <c r="F1236" s="270">
        <v>9596</v>
      </c>
    </row>
    <row r="1237" spans="2:6" ht="18" customHeight="1">
      <c r="B1237" s="242">
        <f t="shared" si="78"/>
        <v>46159</v>
      </c>
      <c r="C1237" s="123">
        <f t="shared" si="79"/>
        <v>2026</v>
      </c>
      <c r="D1237" s="123">
        <f t="shared" si="80"/>
        <v>5</v>
      </c>
      <c r="E1237" s="123">
        <f t="shared" si="81"/>
        <v>17</v>
      </c>
      <c r="F1237" s="270">
        <v>3460</v>
      </c>
    </row>
    <row r="1238" spans="2:6" ht="18" customHeight="1">
      <c r="B1238" s="242">
        <f t="shared" si="78"/>
        <v>46160</v>
      </c>
      <c r="C1238" s="123">
        <f t="shared" si="79"/>
        <v>2026</v>
      </c>
      <c r="D1238" s="123">
        <f t="shared" si="80"/>
        <v>5</v>
      </c>
      <c r="E1238" s="123">
        <f t="shared" si="81"/>
        <v>18</v>
      </c>
      <c r="F1238" s="270">
        <v>2294</v>
      </c>
    </row>
    <row r="1239" spans="2:6" ht="18" customHeight="1">
      <c r="B1239" s="242">
        <f t="shared" si="78"/>
        <v>46161</v>
      </c>
      <c r="C1239" s="123">
        <f t="shared" si="79"/>
        <v>2026</v>
      </c>
      <c r="D1239" s="123">
        <f t="shared" si="80"/>
        <v>5</v>
      </c>
      <c r="E1239" s="123">
        <f t="shared" si="81"/>
        <v>19</v>
      </c>
      <c r="F1239" s="270">
        <v>10095</v>
      </c>
    </row>
    <row r="1240" spans="2:6" ht="18" customHeight="1">
      <c r="B1240" s="242">
        <f t="shared" si="78"/>
        <v>46162</v>
      </c>
      <c r="C1240" s="123">
        <f t="shared" si="79"/>
        <v>2026</v>
      </c>
      <c r="D1240" s="123">
        <f t="shared" si="80"/>
        <v>5</v>
      </c>
      <c r="E1240" s="123">
        <f t="shared" si="81"/>
        <v>20</v>
      </c>
      <c r="F1240" s="270">
        <v>11197</v>
      </c>
    </row>
    <row r="1241" spans="2:6" ht="18" customHeight="1">
      <c r="B1241" s="242">
        <f t="shared" si="78"/>
        <v>46163</v>
      </c>
      <c r="C1241" s="123">
        <f t="shared" si="79"/>
        <v>2026</v>
      </c>
      <c r="D1241" s="123">
        <f t="shared" si="80"/>
        <v>5</v>
      </c>
      <c r="E1241" s="123">
        <f t="shared" si="81"/>
        <v>21</v>
      </c>
      <c r="F1241" s="270">
        <v>4572</v>
      </c>
    </row>
    <row r="1242" spans="2:6" ht="18" customHeight="1">
      <c r="B1242" s="242">
        <f t="shared" si="78"/>
        <v>46164</v>
      </c>
      <c r="C1242" s="123">
        <f t="shared" si="79"/>
        <v>2026</v>
      </c>
      <c r="D1242" s="123">
        <f t="shared" si="80"/>
        <v>5</v>
      </c>
      <c r="E1242" s="123">
        <f t="shared" si="81"/>
        <v>22</v>
      </c>
      <c r="F1242" s="270">
        <v>3348</v>
      </c>
    </row>
    <row r="1243" spans="2:6" ht="18" customHeight="1">
      <c r="B1243" s="242">
        <f t="shared" si="78"/>
        <v>46165</v>
      </c>
      <c r="C1243" s="123">
        <f t="shared" si="79"/>
        <v>2026</v>
      </c>
      <c r="D1243" s="123">
        <f t="shared" si="80"/>
        <v>5</v>
      </c>
      <c r="E1243" s="123">
        <f t="shared" si="81"/>
        <v>23</v>
      </c>
      <c r="F1243" s="270">
        <v>3562</v>
      </c>
    </row>
    <row r="1244" spans="2:6" ht="18" customHeight="1">
      <c r="B1244" s="242">
        <f t="shared" si="78"/>
        <v>46166</v>
      </c>
      <c r="C1244" s="123">
        <f t="shared" si="79"/>
        <v>2026</v>
      </c>
      <c r="D1244" s="123">
        <f t="shared" si="80"/>
        <v>5</v>
      </c>
      <c r="E1244" s="123">
        <f t="shared" si="81"/>
        <v>24</v>
      </c>
      <c r="F1244" s="270">
        <v>9638</v>
      </c>
    </row>
    <row r="1245" spans="2:6" ht="18" customHeight="1">
      <c r="B1245" s="242">
        <f t="shared" si="78"/>
        <v>46167</v>
      </c>
      <c r="C1245" s="123">
        <f t="shared" si="79"/>
        <v>2026</v>
      </c>
      <c r="D1245" s="123">
        <f t="shared" si="80"/>
        <v>5</v>
      </c>
      <c r="E1245" s="123">
        <f t="shared" si="81"/>
        <v>25</v>
      </c>
      <c r="F1245" s="270">
        <v>3262</v>
      </c>
    </row>
    <row r="1246" spans="2:6" ht="18" customHeight="1">
      <c r="B1246" s="242">
        <f t="shared" si="78"/>
        <v>46168</v>
      </c>
      <c r="C1246" s="123">
        <f t="shared" si="79"/>
        <v>2026</v>
      </c>
      <c r="D1246" s="123">
        <f t="shared" si="80"/>
        <v>5</v>
      </c>
      <c r="E1246" s="123">
        <f t="shared" si="81"/>
        <v>26</v>
      </c>
      <c r="F1246" s="270">
        <v>10948</v>
      </c>
    </row>
    <row r="1247" spans="2:6" ht="18" customHeight="1">
      <c r="B1247" s="242">
        <f t="shared" si="78"/>
        <v>46169</v>
      </c>
      <c r="C1247" s="123">
        <f t="shared" si="79"/>
        <v>2026</v>
      </c>
      <c r="D1247" s="123">
        <f t="shared" si="80"/>
        <v>5</v>
      </c>
      <c r="E1247" s="123">
        <f t="shared" si="81"/>
        <v>27</v>
      </c>
      <c r="F1247" s="270">
        <v>7025</v>
      </c>
    </row>
    <row r="1248" spans="2:6" ht="18" customHeight="1">
      <c r="B1248" s="242">
        <f t="shared" si="78"/>
        <v>46170</v>
      </c>
      <c r="C1248" s="123">
        <f t="shared" si="79"/>
        <v>2026</v>
      </c>
      <c r="D1248" s="123">
        <f t="shared" si="80"/>
        <v>5</v>
      </c>
      <c r="E1248" s="123">
        <f t="shared" si="81"/>
        <v>28</v>
      </c>
      <c r="F1248" s="270">
        <v>3529</v>
      </c>
    </row>
    <row r="1249" spans="2:6" ht="18" customHeight="1">
      <c r="B1249" s="242">
        <f t="shared" si="78"/>
        <v>46171</v>
      </c>
      <c r="C1249" s="123">
        <f t="shared" si="79"/>
        <v>2026</v>
      </c>
      <c r="D1249" s="123">
        <f t="shared" si="80"/>
        <v>5</v>
      </c>
      <c r="E1249" s="123">
        <f t="shared" si="81"/>
        <v>29</v>
      </c>
      <c r="F1249" s="270">
        <v>9044</v>
      </c>
    </row>
    <row r="1250" spans="2:6" ht="18" customHeight="1">
      <c r="B1250" s="242">
        <f t="shared" si="78"/>
        <v>46172</v>
      </c>
      <c r="C1250" s="123">
        <f t="shared" si="79"/>
        <v>2026</v>
      </c>
      <c r="D1250" s="123">
        <f t="shared" si="80"/>
        <v>5</v>
      </c>
      <c r="E1250" s="123">
        <f t="shared" si="81"/>
        <v>30</v>
      </c>
      <c r="F1250" s="270">
        <v>8927</v>
      </c>
    </row>
    <row r="1251" spans="2:6" ht="18" customHeight="1">
      <c r="B1251" s="242">
        <f t="shared" si="78"/>
        <v>46173</v>
      </c>
      <c r="C1251" s="123">
        <f t="shared" si="79"/>
        <v>2026</v>
      </c>
      <c r="D1251" s="123">
        <f t="shared" si="80"/>
        <v>5</v>
      </c>
      <c r="E1251" s="123">
        <f t="shared" si="81"/>
        <v>31</v>
      </c>
      <c r="F1251" s="270">
        <v>5147</v>
      </c>
    </row>
    <row r="1252" spans="2:6" ht="18" customHeight="1">
      <c r="B1252" s="242">
        <f t="shared" si="78"/>
        <v>46174</v>
      </c>
      <c r="C1252" s="123">
        <f t="shared" si="79"/>
        <v>2026</v>
      </c>
      <c r="D1252" s="123">
        <f t="shared" si="80"/>
        <v>6</v>
      </c>
      <c r="E1252" s="123">
        <f t="shared" si="81"/>
        <v>1</v>
      </c>
      <c r="F1252" s="270">
        <v>3798</v>
      </c>
    </row>
    <row r="1253" spans="2:6" ht="18" customHeight="1">
      <c r="B1253" s="242">
        <f t="shared" si="78"/>
        <v>46175</v>
      </c>
      <c r="C1253" s="123">
        <f t="shared" si="79"/>
        <v>2026</v>
      </c>
      <c r="D1253" s="123">
        <f t="shared" si="80"/>
        <v>6</v>
      </c>
      <c r="E1253" s="123">
        <f t="shared" si="81"/>
        <v>2</v>
      </c>
      <c r="F1253" s="270">
        <v>2236</v>
      </c>
    </row>
    <row r="1254" spans="2:6" ht="18" customHeight="1">
      <c r="B1254" s="242">
        <f t="shared" si="78"/>
        <v>46176</v>
      </c>
      <c r="C1254" s="123">
        <f t="shared" si="79"/>
        <v>2026</v>
      </c>
      <c r="D1254" s="123">
        <f t="shared" si="80"/>
        <v>6</v>
      </c>
      <c r="E1254" s="123">
        <f t="shared" si="81"/>
        <v>3</v>
      </c>
      <c r="F1254" s="270">
        <v>4405</v>
      </c>
    </row>
    <row r="1255" spans="2:6" ht="18" customHeight="1">
      <c r="B1255" s="242">
        <f t="shared" si="78"/>
        <v>46177</v>
      </c>
      <c r="C1255" s="123">
        <f t="shared" si="79"/>
        <v>2026</v>
      </c>
      <c r="D1255" s="123">
        <f t="shared" si="80"/>
        <v>6</v>
      </c>
      <c r="E1255" s="123">
        <f t="shared" si="81"/>
        <v>4</v>
      </c>
      <c r="F1255" s="270">
        <v>2659</v>
      </c>
    </row>
    <row r="1256" spans="2:6" ht="18" customHeight="1">
      <c r="B1256" s="242">
        <f t="shared" si="78"/>
        <v>46178</v>
      </c>
      <c r="C1256" s="123">
        <f t="shared" si="79"/>
        <v>2026</v>
      </c>
      <c r="D1256" s="123">
        <f t="shared" si="80"/>
        <v>6</v>
      </c>
      <c r="E1256" s="123">
        <f t="shared" si="81"/>
        <v>5</v>
      </c>
      <c r="F1256" s="270">
        <v>7310</v>
      </c>
    </row>
    <row r="1257" spans="2:6" ht="18" customHeight="1">
      <c r="B1257" s="242">
        <f t="shared" si="78"/>
        <v>46179</v>
      </c>
      <c r="C1257" s="123">
        <f t="shared" si="79"/>
        <v>2026</v>
      </c>
      <c r="D1257" s="123">
        <f t="shared" si="80"/>
        <v>6</v>
      </c>
      <c r="E1257" s="123">
        <f t="shared" si="81"/>
        <v>6</v>
      </c>
      <c r="F1257" s="270">
        <v>8944</v>
      </c>
    </row>
    <row r="1258" spans="2:6" ht="18" customHeight="1">
      <c r="B1258" s="242">
        <f t="shared" si="78"/>
        <v>46180</v>
      </c>
      <c r="C1258" s="123">
        <f t="shared" si="79"/>
        <v>2026</v>
      </c>
      <c r="D1258" s="123">
        <f t="shared" si="80"/>
        <v>6</v>
      </c>
      <c r="E1258" s="123">
        <f t="shared" si="81"/>
        <v>7</v>
      </c>
      <c r="F1258" s="270">
        <v>1801</v>
      </c>
    </row>
    <row r="1259" spans="2:6" ht="18" customHeight="1">
      <c r="B1259" s="242">
        <f t="shared" si="78"/>
        <v>46181</v>
      </c>
      <c r="C1259" s="123">
        <f t="shared" si="79"/>
        <v>2026</v>
      </c>
      <c r="D1259" s="123">
        <f t="shared" si="80"/>
        <v>6</v>
      </c>
      <c r="E1259" s="123">
        <f t="shared" si="81"/>
        <v>8</v>
      </c>
      <c r="F1259" s="270">
        <v>2269</v>
      </c>
    </row>
    <row r="1260" spans="2:6" ht="18" customHeight="1">
      <c r="B1260" s="242">
        <f t="shared" si="78"/>
        <v>46182</v>
      </c>
      <c r="C1260" s="123">
        <f t="shared" si="79"/>
        <v>2026</v>
      </c>
      <c r="D1260" s="123">
        <f t="shared" si="80"/>
        <v>6</v>
      </c>
      <c r="E1260" s="123">
        <f t="shared" si="81"/>
        <v>9</v>
      </c>
      <c r="F1260" s="270">
        <v>2418</v>
      </c>
    </row>
    <row r="1261" spans="2:6" ht="18" customHeight="1">
      <c r="B1261" s="242">
        <f t="shared" si="78"/>
        <v>46183</v>
      </c>
      <c r="C1261" s="123">
        <f t="shared" si="79"/>
        <v>2026</v>
      </c>
      <c r="D1261" s="123">
        <f t="shared" si="80"/>
        <v>6</v>
      </c>
      <c r="E1261" s="123">
        <f t="shared" si="81"/>
        <v>10</v>
      </c>
      <c r="F1261" s="270">
        <v>5033</v>
      </c>
    </row>
    <row r="1262" spans="2:6" ht="18" customHeight="1">
      <c r="B1262" s="242">
        <f t="shared" si="78"/>
        <v>46184</v>
      </c>
      <c r="C1262" s="123">
        <f t="shared" si="79"/>
        <v>2026</v>
      </c>
      <c r="D1262" s="123">
        <f t="shared" si="80"/>
        <v>6</v>
      </c>
      <c r="E1262" s="123">
        <f t="shared" si="81"/>
        <v>11</v>
      </c>
      <c r="F1262" s="270">
        <v>9757</v>
      </c>
    </row>
    <row r="1263" spans="2:6" ht="18" customHeight="1">
      <c r="B1263" s="242">
        <f t="shared" si="78"/>
        <v>46185</v>
      </c>
      <c r="C1263" s="123">
        <f t="shared" si="79"/>
        <v>2026</v>
      </c>
      <c r="D1263" s="123">
        <f t="shared" si="80"/>
        <v>6</v>
      </c>
      <c r="E1263" s="123">
        <f t="shared" si="81"/>
        <v>12</v>
      </c>
      <c r="F1263" s="270">
        <v>6746</v>
      </c>
    </row>
    <row r="1264" spans="2:6" ht="18" customHeight="1">
      <c r="B1264" s="242">
        <f t="shared" si="78"/>
        <v>46186</v>
      </c>
      <c r="C1264" s="123">
        <f t="shared" si="79"/>
        <v>2026</v>
      </c>
      <c r="D1264" s="123">
        <f t="shared" si="80"/>
        <v>6</v>
      </c>
      <c r="E1264" s="123">
        <f t="shared" si="81"/>
        <v>13</v>
      </c>
      <c r="F1264" s="270">
        <v>4692</v>
      </c>
    </row>
    <row r="1265" spans="2:6" ht="18" customHeight="1">
      <c r="B1265" s="242">
        <f t="shared" si="78"/>
        <v>46187</v>
      </c>
      <c r="C1265" s="123">
        <f t="shared" si="79"/>
        <v>2026</v>
      </c>
      <c r="D1265" s="123">
        <f t="shared" si="80"/>
        <v>6</v>
      </c>
      <c r="E1265" s="123">
        <f t="shared" si="81"/>
        <v>14</v>
      </c>
      <c r="F1265" s="270">
        <v>8293</v>
      </c>
    </row>
    <row r="1266" spans="2:6" ht="18" customHeight="1">
      <c r="B1266" s="242">
        <f t="shared" si="78"/>
        <v>46188</v>
      </c>
      <c r="C1266" s="123">
        <f t="shared" si="79"/>
        <v>2026</v>
      </c>
      <c r="D1266" s="123">
        <f t="shared" si="80"/>
        <v>6</v>
      </c>
      <c r="E1266" s="123">
        <f t="shared" si="81"/>
        <v>15</v>
      </c>
      <c r="F1266" s="270">
        <v>4973</v>
      </c>
    </row>
    <row r="1267" spans="2:6" ht="18" customHeight="1">
      <c r="B1267" s="242">
        <f t="shared" si="78"/>
        <v>46189</v>
      </c>
      <c r="C1267" s="123">
        <f t="shared" si="79"/>
        <v>2026</v>
      </c>
      <c r="D1267" s="123">
        <f t="shared" si="80"/>
        <v>6</v>
      </c>
      <c r="E1267" s="123">
        <f t="shared" si="81"/>
        <v>16</v>
      </c>
      <c r="F1267" s="270">
        <v>10974</v>
      </c>
    </row>
    <row r="1268" spans="2:6" ht="18" customHeight="1">
      <c r="B1268" s="242">
        <f t="shared" ref="B1268:B1331" si="82">+B1267+1</f>
        <v>46190</v>
      </c>
      <c r="C1268" s="123">
        <f t="shared" si="79"/>
        <v>2026</v>
      </c>
      <c r="D1268" s="123">
        <f t="shared" si="80"/>
        <v>6</v>
      </c>
      <c r="E1268" s="123">
        <f t="shared" si="81"/>
        <v>17</v>
      </c>
      <c r="F1268" s="270">
        <v>1430</v>
      </c>
    </row>
    <row r="1269" spans="2:6" ht="18" customHeight="1">
      <c r="B1269" s="242">
        <f t="shared" si="82"/>
        <v>46191</v>
      </c>
      <c r="C1269" s="123">
        <f t="shared" si="79"/>
        <v>2026</v>
      </c>
      <c r="D1269" s="123">
        <f t="shared" si="80"/>
        <v>6</v>
      </c>
      <c r="E1269" s="123">
        <f t="shared" si="81"/>
        <v>18</v>
      </c>
      <c r="F1269" s="270">
        <v>1431</v>
      </c>
    </row>
    <row r="1270" spans="2:6" ht="18" customHeight="1">
      <c r="B1270" s="242">
        <f t="shared" si="82"/>
        <v>46192</v>
      </c>
      <c r="C1270" s="123">
        <f t="shared" si="79"/>
        <v>2026</v>
      </c>
      <c r="D1270" s="123">
        <f t="shared" si="80"/>
        <v>6</v>
      </c>
      <c r="E1270" s="123">
        <f t="shared" si="81"/>
        <v>19</v>
      </c>
      <c r="F1270" s="270">
        <v>2596</v>
      </c>
    </row>
    <row r="1271" spans="2:6" ht="18" customHeight="1">
      <c r="B1271" s="242">
        <f t="shared" si="82"/>
        <v>46193</v>
      </c>
      <c r="C1271" s="123">
        <f t="shared" si="79"/>
        <v>2026</v>
      </c>
      <c r="D1271" s="123">
        <f t="shared" si="80"/>
        <v>6</v>
      </c>
      <c r="E1271" s="123">
        <f t="shared" si="81"/>
        <v>20</v>
      </c>
      <c r="F1271" s="270">
        <v>6367</v>
      </c>
    </row>
    <row r="1272" spans="2:6" ht="18" customHeight="1">
      <c r="B1272" s="242">
        <f t="shared" si="82"/>
        <v>46194</v>
      </c>
      <c r="C1272" s="123">
        <f t="shared" si="79"/>
        <v>2026</v>
      </c>
      <c r="D1272" s="123">
        <f t="shared" si="80"/>
        <v>6</v>
      </c>
      <c r="E1272" s="123">
        <f t="shared" si="81"/>
        <v>21</v>
      </c>
      <c r="F1272" s="270">
        <v>1231</v>
      </c>
    </row>
    <row r="1273" spans="2:6" ht="18" customHeight="1">
      <c r="B1273" s="242">
        <f t="shared" si="82"/>
        <v>46195</v>
      </c>
      <c r="C1273" s="123">
        <f t="shared" si="79"/>
        <v>2026</v>
      </c>
      <c r="D1273" s="123">
        <f t="shared" si="80"/>
        <v>6</v>
      </c>
      <c r="E1273" s="123">
        <f t="shared" si="81"/>
        <v>22</v>
      </c>
      <c r="F1273" s="270">
        <v>8308</v>
      </c>
    </row>
    <row r="1274" spans="2:6" ht="18" customHeight="1">
      <c r="B1274" s="242">
        <f t="shared" si="82"/>
        <v>46196</v>
      </c>
      <c r="C1274" s="123">
        <f t="shared" si="79"/>
        <v>2026</v>
      </c>
      <c r="D1274" s="123">
        <f t="shared" si="80"/>
        <v>6</v>
      </c>
      <c r="E1274" s="123">
        <f t="shared" si="81"/>
        <v>23</v>
      </c>
      <c r="F1274" s="270">
        <v>7593</v>
      </c>
    </row>
    <row r="1275" spans="2:6" ht="18" customHeight="1">
      <c r="B1275" s="242">
        <f t="shared" si="82"/>
        <v>46197</v>
      </c>
      <c r="C1275" s="123">
        <f t="shared" si="79"/>
        <v>2026</v>
      </c>
      <c r="D1275" s="123">
        <f t="shared" si="80"/>
        <v>6</v>
      </c>
      <c r="E1275" s="123">
        <f t="shared" si="81"/>
        <v>24</v>
      </c>
      <c r="F1275" s="270">
        <v>5592</v>
      </c>
    </row>
    <row r="1276" spans="2:6" ht="18" customHeight="1">
      <c r="B1276" s="242">
        <f t="shared" si="82"/>
        <v>46198</v>
      </c>
      <c r="C1276" s="123">
        <f t="shared" si="79"/>
        <v>2026</v>
      </c>
      <c r="D1276" s="123">
        <f t="shared" si="80"/>
        <v>6</v>
      </c>
      <c r="E1276" s="123">
        <f t="shared" si="81"/>
        <v>25</v>
      </c>
      <c r="F1276" s="270">
        <v>3610</v>
      </c>
    </row>
    <row r="1277" spans="2:6" ht="18" customHeight="1">
      <c r="B1277" s="242">
        <f t="shared" si="82"/>
        <v>46199</v>
      </c>
      <c r="C1277" s="123">
        <f t="shared" si="79"/>
        <v>2026</v>
      </c>
      <c r="D1277" s="123">
        <f t="shared" si="80"/>
        <v>6</v>
      </c>
      <c r="E1277" s="123">
        <f t="shared" si="81"/>
        <v>26</v>
      </c>
      <c r="F1277" s="270">
        <v>4146</v>
      </c>
    </row>
    <row r="1278" spans="2:6" ht="18" customHeight="1">
      <c r="B1278" s="242">
        <f t="shared" si="82"/>
        <v>46200</v>
      </c>
      <c r="C1278" s="123">
        <f t="shared" si="79"/>
        <v>2026</v>
      </c>
      <c r="D1278" s="123">
        <f t="shared" si="80"/>
        <v>6</v>
      </c>
      <c r="E1278" s="123">
        <f t="shared" si="81"/>
        <v>27</v>
      </c>
      <c r="F1278" s="270">
        <v>10537</v>
      </c>
    </row>
    <row r="1279" spans="2:6" ht="18" customHeight="1">
      <c r="B1279" s="242">
        <f t="shared" si="82"/>
        <v>46201</v>
      </c>
      <c r="C1279" s="123">
        <f t="shared" si="79"/>
        <v>2026</v>
      </c>
      <c r="D1279" s="123">
        <f t="shared" si="80"/>
        <v>6</v>
      </c>
      <c r="E1279" s="123">
        <f t="shared" si="81"/>
        <v>28</v>
      </c>
      <c r="F1279" s="270">
        <v>5066</v>
      </c>
    </row>
    <row r="1280" spans="2:6" ht="18" customHeight="1">
      <c r="B1280" s="242">
        <f t="shared" si="82"/>
        <v>46202</v>
      </c>
      <c r="C1280" s="123">
        <f t="shared" si="79"/>
        <v>2026</v>
      </c>
      <c r="D1280" s="123">
        <f t="shared" si="80"/>
        <v>6</v>
      </c>
      <c r="E1280" s="123">
        <f t="shared" si="81"/>
        <v>29</v>
      </c>
      <c r="F1280" s="270">
        <v>1650</v>
      </c>
    </row>
    <row r="1281" spans="2:6" ht="18" customHeight="1">
      <c r="B1281" s="242">
        <f t="shared" si="82"/>
        <v>46203</v>
      </c>
      <c r="C1281" s="123">
        <f t="shared" si="79"/>
        <v>2026</v>
      </c>
      <c r="D1281" s="123">
        <f t="shared" si="80"/>
        <v>6</v>
      </c>
      <c r="E1281" s="123">
        <f t="shared" si="81"/>
        <v>30</v>
      </c>
      <c r="F1281" s="270">
        <v>9648</v>
      </c>
    </row>
    <row r="1282" spans="2:6" ht="18" customHeight="1">
      <c r="B1282" s="242">
        <f t="shared" si="82"/>
        <v>46204</v>
      </c>
      <c r="C1282" s="123">
        <f t="shared" si="79"/>
        <v>2026</v>
      </c>
      <c r="D1282" s="123">
        <f t="shared" si="80"/>
        <v>7</v>
      </c>
      <c r="E1282" s="123">
        <f t="shared" si="81"/>
        <v>1</v>
      </c>
      <c r="F1282" s="270">
        <v>9123</v>
      </c>
    </row>
    <row r="1283" spans="2:6" ht="18" customHeight="1">
      <c r="B1283" s="242">
        <f t="shared" si="82"/>
        <v>46205</v>
      </c>
      <c r="C1283" s="123">
        <f t="shared" si="79"/>
        <v>2026</v>
      </c>
      <c r="D1283" s="123">
        <f t="shared" si="80"/>
        <v>7</v>
      </c>
      <c r="E1283" s="123">
        <f t="shared" si="81"/>
        <v>2</v>
      </c>
      <c r="F1283" s="270">
        <v>2383</v>
      </c>
    </row>
    <row r="1284" spans="2:6" ht="18" customHeight="1">
      <c r="B1284" s="242">
        <f t="shared" si="82"/>
        <v>46206</v>
      </c>
      <c r="C1284" s="123">
        <f t="shared" si="79"/>
        <v>2026</v>
      </c>
      <c r="D1284" s="123">
        <f t="shared" si="80"/>
        <v>7</v>
      </c>
      <c r="E1284" s="123">
        <f t="shared" si="81"/>
        <v>3</v>
      </c>
      <c r="F1284" s="270">
        <v>6952</v>
      </c>
    </row>
    <row r="1285" spans="2:6" ht="18" customHeight="1">
      <c r="B1285" s="242">
        <f t="shared" si="82"/>
        <v>46207</v>
      </c>
      <c r="C1285" s="123">
        <f t="shared" si="79"/>
        <v>2026</v>
      </c>
      <c r="D1285" s="123">
        <f t="shared" si="80"/>
        <v>7</v>
      </c>
      <c r="E1285" s="123">
        <f t="shared" si="81"/>
        <v>4</v>
      </c>
      <c r="F1285" s="270">
        <v>6057</v>
      </c>
    </row>
    <row r="1286" spans="2:6" ht="18" customHeight="1">
      <c r="B1286" s="242">
        <f t="shared" si="82"/>
        <v>46208</v>
      </c>
      <c r="C1286" s="123">
        <f t="shared" ref="C1286:C1349" si="83">YEAR(B1286)</f>
        <v>2026</v>
      </c>
      <c r="D1286" s="123">
        <f t="shared" ref="D1286:D1349" si="84">MONTH(B1286)</f>
        <v>7</v>
      </c>
      <c r="E1286" s="123">
        <f t="shared" ref="E1286:E1349" si="85">DAY(B1286)</f>
        <v>5</v>
      </c>
      <c r="F1286" s="270">
        <v>2067</v>
      </c>
    </row>
    <row r="1287" spans="2:6" ht="18" customHeight="1">
      <c r="B1287" s="242">
        <f t="shared" si="82"/>
        <v>46209</v>
      </c>
      <c r="C1287" s="123">
        <f t="shared" si="83"/>
        <v>2026</v>
      </c>
      <c r="D1287" s="123">
        <f t="shared" si="84"/>
        <v>7</v>
      </c>
      <c r="E1287" s="123">
        <f t="shared" si="85"/>
        <v>6</v>
      </c>
      <c r="F1287" s="270">
        <v>1554</v>
      </c>
    </row>
    <row r="1288" spans="2:6" ht="18" customHeight="1">
      <c r="B1288" s="242">
        <f t="shared" si="82"/>
        <v>46210</v>
      </c>
      <c r="C1288" s="123">
        <f t="shared" si="83"/>
        <v>2026</v>
      </c>
      <c r="D1288" s="123">
        <f t="shared" si="84"/>
        <v>7</v>
      </c>
      <c r="E1288" s="123">
        <f t="shared" si="85"/>
        <v>7</v>
      </c>
      <c r="F1288" s="270">
        <v>5636</v>
      </c>
    </row>
    <row r="1289" spans="2:6" ht="18" customHeight="1">
      <c r="B1289" s="242">
        <f t="shared" si="82"/>
        <v>46211</v>
      </c>
      <c r="C1289" s="123">
        <f t="shared" si="83"/>
        <v>2026</v>
      </c>
      <c r="D1289" s="123">
        <f t="shared" si="84"/>
        <v>7</v>
      </c>
      <c r="E1289" s="123">
        <f t="shared" si="85"/>
        <v>8</v>
      </c>
      <c r="F1289" s="270">
        <v>7306</v>
      </c>
    </row>
    <row r="1290" spans="2:6" ht="18" customHeight="1">
      <c r="B1290" s="242">
        <f t="shared" si="82"/>
        <v>46212</v>
      </c>
      <c r="C1290" s="123">
        <f t="shared" si="83"/>
        <v>2026</v>
      </c>
      <c r="D1290" s="123">
        <f t="shared" si="84"/>
        <v>7</v>
      </c>
      <c r="E1290" s="123">
        <f t="shared" si="85"/>
        <v>9</v>
      </c>
      <c r="F1290" s="270">
        <v>3192</v>
      </c>
    </row>
    <row r="1291" spans="2:6" ht="18" customHeight="1">
      <c r="B1291" s="242">
        <f t="shared" si="82"/>
        <v>46213</v>
      </c>
      <c r="C1291" s="123">
        <f t="shared" si="83"/>
        <v>2026</v>
      </c>
      <c r="D1291" s="123">
        <f t="shared" si="84"/>
        <v>7</v>
      </c>
      <c r="E1291" s="123">
        <f t="shared" si="85"/>
        <v>10</v>
      </c>
      <c r="F1291" s="270">
        <v>1722</v>
      </c>
    </row>
    <row r="1292" spans="2:6" ht="18" customHeight="1">
      <c r="B1292" s="242">
        <f t="shared" si="82"/>
        <v>46214</v>
      </c>
      <c r="C1292" s="123">
        <f t="shared" si="83"/>
        <v>2026</v>
      </c>
      <c r="D1292" s="123">
        <f t="shared" si="84"/>
        <v>7</v>
      </c>
      <c r="E1292" s="123">
        <f t="shared" si="85"/>
        <v>11</v>
      </c>
      <c r="F1292" s="270">
        <v>5954</v>
      </c>
    </row>
    <row r="1293" spans="2:6" ht="18" customHeight="1">
      <c r="B1293" s="242">
        <f t="shared" si="82"/>
        <v>46215</v>
      </c>
      <c r="C1293" s="123">
        <f t="shared" si="83"/>
        <v>2026</v>
      </c>
      <c r="D1293" s="123">
        <f t="shared" si="84"/>
        <v>7</v>
      </c>
      <c r="E1293" s="123">
        <f t="shared" si="85"/>
        <v>12</v>
      </c>
      <c r="F1293" s="270">
        <v>6193</v>
      </c>
    </row>
    <row r="1294" spans="2:6" ht="18" customHeight="1">
      <c r="B1294" s="242">
        <f t="shared" si="82"/>
        <v>46216</v>
      </c>
      <c r="C1294" s="123">
        <f t="shared" si="83"/>
        <v>2026</v>
      </c>
      <c r="D1294" s="123">
        <f t="shared" si="84"/>
        <v>7</v>
      </c>
      <c r="E1294" s="123">
        <f t="shared" si="85"/>
        <v>13</v>
      </c>
      <c r="F1294" s="270">
        <v>6110</v>
      </c>
    </row>
    <row r="1295" spans="2:6" ht="18" customHeight="1">
      <c r="B1295" s="242">
        <f t="shared" si="82"/>
        <v>46217</v>
      </c>
      <c r="C1295" s="123">
        <f t="shared" si="83"/>
        <v>2026</v>
      </c>
      <c r="D1295" s="123">
        <f t="shared" si="84"/>
        <v>7</v>
      </c>
      <c r="E1295" s="123">
        <f t="shared" si="85"/>
        <v>14</v>
      </c>
      <c r="F1295" s="270">
        <v>4271</v>
      </c>
    </row>
    <row r="1296" spans="2:6" ht="18" customHeight="1">
      <c r="B1296" s="242">
        <f t="shared" si="82"/>
        <v>46218</v>
      </c>
      <c r="C1296" s="123">
        <f t="shared" si="83"/>
        <v>2026</v>
      </c>
      <c r="D1296" s="123">
        <f t="shared" si="84"/>
        <v>7</v>
      </c>
      <c r="E1296" s="123">
        <f t="shared" si="85"/>
        <v>15</v>
      </c>
      <c r="F1296" s="270">
        <v>10931</v>
      </c>
    </row>
    <row r="1297" spans="2:6" ht="18" customHeight="1">
      <c r="B1297" s="242">
        <f t="shared" si="82"/>
        <v>46219</v>
      </c>
      <c r="C1297" s="123">
        <f t="shared" si="83"/>
        <v>2026</v>
      </c>
      <c r="D1297" s="123">
        <f t="shared" si="84"/>
        <v>7</v>
      </c>
      <c r="E1297" s="123">
        <f t="shared" si="85"/>
        <v>16</v>
      </c>
      <c r="F1297" s="270">
        <v>10730</v>
      </c>
    </row>
    <row r="1298" spans="2:6" ht="18" customHeight="1">
      <c r="B1298" s="242">
        <f t="shared" si="82"/>
        <v>46220</v>
      </c>
      <c r="C1298" s="123">
        <f t="shared" si="83"/>
        <v>2026</v>
      </c>
      <c r="D1298" s="123">
        <f t="shared" si="84"/>
        <v>7</v>
      </c>
      <c r="E1298" s="123">
        <f t="shared" si="85"/>
        <v>17</v>
      </c>
      <c r="F1298" s="270">
        <v>6038</v>
      </c>
    </row>
    <row r="1299" spans="2:6" ht="18" customHeight="1">
      <c r="B1299" s="242">
        <f t="shared" si="82"/>
        <v>46221</v>
      </c>
      <c r="C1299" s="123">
        <f t="shared" si="83"/>
        <v>2026</v>
      </c>
      <c r="D1299" s="123">
        <f t="shared" si="84"/>
        <v>7</v>
      </c>
      <c r="E1299" s="123">
        <f t="shared" si="85"/>
        <v>18</v>
      </c>
      <c r="F1299" s="270">
        <v>7821</v>
      </c>
    </row>
    <row r="1300" spans="2:6" ht="18" customHeight="1">
      <c r="B1300" s="242">
        <f t="shared" si="82"/>
        <v>46222</v>
      </c>
      <c r="C1300" s="123">
        <f t="shared" si="83"/>
        <v>2026</v>
      </c>
      <c r="D1300" s="123">
        <f t="shared" si="84"/>
        <v>7</v>
      </c>
      <c r="E1300" s="123">
        <f t="shared" si="85"/>
        <v>19</v>
      </c>
      <c r="F1300" s="270">
        <v>5456</v>
      </c>
    </row>
    <row r="1301" spans="2:6" ht="18" customHeight="1">
      <c r="B1301" s="242">
        <f t="shared" si="82"/>
        <v>46223</v>
      </c>
      <c r="C1301" s="123">
        <f t="shared" si="83"/>
        <v>2026</v>
      </c>
      <c r="D1301" s="123">
        <f t="shared" si="84"/>
        <v>7</v>
      </c>
      <c r="E1301" s="123">
        <f t="shared" si="85"/>
        <v>20</v>
      </c>
      <c r="F1301" s="270">
        <v>9063</v>
      </c>
    </row>
    <row r="1302" spans="2:6" ht="18" customHeight="1">
      <c r="B1302" s="242">
        <f t="shared" si="82"/>
        <v>46224</v>
      </c>
      <c r="C1302" s="123">
        <f t="shared" si="83"/>
        <v>2026</v>
      </c>
      <c r="D1302" s="123">
        <f t="shared" si="84"/>
        <v>7</v>
      </c>
      <c r="E1302" s="123">
        <f t="shared" si="85"/>
        <v>21</v>
      </c>
      <c r="F1302" s="270">
        <v>4487</v>
      </c>
    </row>
    <row r="1303" spans="2:6" ht="18" customHeight="1">
      <c r="B1303" s="242">
        <f t="shared" si="82"/>
        <v>46225</v>
      </c>
      <c r="C1303" s="123">
        <f t="shared" si="83"/>
        <v>2026</v>
      </c>
      <c r="D1303" s="123">
        <f t="shared" si="84"/>
        <v>7</v>
      </c>
      <c r="E1303" s="123">
        <f t="shared" si="85"/>
        <v>22</v>
      </c>
      <c r="F1303" s="270">
        <v>9381</v>
      </c>
    </row>
    <row r="1304" spans="2:6" ht="18" customHeight="1">
      <c r="B1304" s="242">
        <f t="shared" si="82"/>
        <v>46226</v>
      </c>
      <c r="C1304" s="123">
        <f t="shared" si="83"/>
        <v>2026</v>
      </c>
      <c r="D1304" s="123">
        <f t="shared" si="84"/>
        <v>7</v>
      </c>
      <c r="E1304" s="123">
        <f t="shared" si="85"/>
        <v>23</v>
      </c>
      <c r="F1304" s="270">
        <v>4268</v>
      </c>
    </row>
    <row r="1305" spans="2:6" ht="18" customHeight="1">
      <c r="B1305" s="242">
        <f t="shared" si="82"/>
        <v>46227</v>
      </c>
      <c r="C1305" s="123">
        <f t="shared" si="83"/>
        <v>2026</v>
      </c>
      <c r="D1305" s="123">
        <f t="shared" si="84"/>
        <v>7</v>
      </c>
      <c r="E1305" s="123">
        <f t="shared" si="85"/>
        <v>24</v>
      </c>
      <c r="F1305" s="270">
        <v>2680</v>
      </c>
    </row>
    <row r="1306" spans="2:6" ht="18" customHeight="1">
      <c r="B1306" s="242">
        <f t="shared" si="82"/>
        <v>46228</v>
      </c>
      <c r="C1306" s="123">
        <f t="shared" si="83"/>
        <v>2026</v>
      </c>
      <c r="D1306" s="123">
        <f t="shared" si="84"/>
        <v>7</v>
      </c>
      <c r="E1306" s="123">
        <f t="shared" si="85"/>
        <v>25</v>
      </c>
      <c r="F1306" s="270">
        <v>1589</v>
      </c>
    </row>
    <row r="1307" spans="2:6" ht="18" customHeight="1">
      <c r="B1307" s="242">
        <f t="shared" si="82"/>
        <v>46229</v>
      </c>
      <c r="C1307" s="123">
        <f t="shared" si="83"/>
        <v>2026</v>
      </c>
      <c r="D1307" s="123">
        <f t="shared" si="84"/>
        <v>7</v>
      </c>
      <c r="E1307" s="123">
        <f t="shared" si="85"/>
        <v>26</v>
      </c>
      <c r="F1307" s="270">
        <v>9067</v>
      </c>
    </row>
    <row r="1308" spans="2:6" ht="18" customHeight="1">
      <c r="B1308" s="242">
        <f t="shared" si="82"/>
        <v>46230</v>
      </c>
      <c r="C1308" s="123">
        <f t="shared" si="83"/>
        <v>2026</v>
      </c>
      <c r="D1308" s="123">
        <f t="shared" si="84"/>
        <v>7</v>
      </c>
      <c r="E1308" s="123">
        <f t="shared" si="85"/>
        <v>27</v>
      </c>
      <c r="F1308" s="270">
        <v>1268</v>
      </c>
    </row>
    <row r="1309" spans="2:6" ht="18" customHeight="1">
      <c r="B1309" s="242">
        <f t="shared" si="82"/>
        <v>46231</v>
      </c>
      <c r="C1309" s="123">
        <f t="shared" si="83"/>
        <v>2026</v>
      </c>
      <c r="D1309" s="123">
        <f t="shared" si="84"/>
        <v>7</v>
      </c>
      <c r="E1309" s="123">
        <f t="shared" si="85"/>
        <v>28</v>
      </c>
      <c r="F1309" s="270">
        <v>9681</v>
      </c>
    </row>
    <row r="1310" spans="2:6" ht="18" customHeight="1">
      <c r="B1310" s="242">
        <f t="shared" si="82"/>
        <v>46232</v>
      </c>
      <c r="C1310" s="123">
        <f t="shared" si="83"/>
        <v>2026</v>
      </c>
      <c r="D1310" s="123">
        <f t="shared" si="84"/>
        <v>7</v>
      </c>
      <c r="E1310" s="123">
        <f t="shared" si="85"/>
        <v>29</v>
      </c>
      <c r="F1310" s="270">
        <v>7098</v>
      </c>
    </row>
    <row r="1311" spans="2:6" ht="18" customHeight="1">
      <c r="B1311" s="242">
        <f t="shared" si="82"/>
        <v>46233</v>
      </c>
      <c r="C1311" s="123">
        <f t="shared" si="83"/>
        <v>2026</v>
      </c>
      <c r="D1311" s="123">
        <f t="shared" si="84"/>
        <v>7</v>
      </c>
      <c r="E1311" s="123">
        <f t="shared" si="85"/>
        <v>30</v>
      </c>
      <c r="F1311" s="270">
        <v>10279</v>
      </c>
    </row>
    <row r="1312" spans="2:6" ht="18" customHeight="1">
      <c r="B1312" s="242">
        <f t="shared" si="82"/>
        <v>46234</v>
      </c>
      <c r="C1312" s="123">
        <f t="shared" si="83"/>
        <v>2026</v>
      </c>
      <c r="D1312" s="123">
        <f t="shared" si="84"/>
        <v>7</v>
      </c>
      <c r="E1312" s="123">
        <f t="shared" si="85"/>
        <v>31</v>
      </c>
      <c r="F1312" s="270">
        <v>10185</v>
      </c>
    </row>
    <row r="1313" spans="2:6" ht="18" customHeight="1">
      <c r="B1313" s="242">
        <f t="shared" si="82"/>
        <v>46235</v>
      </c>
      <c r="C1313" s="123">
        <f t="shared" si="83"/>
        <v>2026</v>
      </c>
      <c r="D1313" s="123">
        <f t="shared" si="84"/>
        <v>8</v>
      </c>
      <c r="E1313" s="123">
        <f t="shared" si="85"/>
        <v>1</v>
      </c>
      <c r="F1313" s="270">
        <v>6030</v>
      </c>
    </row>
    <row r="1314" spans="2:6" ht="18" customHeight="1">
      <c r="B1314" s="242">
        <f t="shared" si="82"/>
        <v>46236</v>
      </c>
      <c r="C1314" s="123">
        <f t="shared" si="83"/>
        <v>2026</v>
      </c>
      <c r="D1314" s="123">
        <f t="shared" si="84"/>
        <v>8</v>
      </c>
      <c r="E1314" s="123">
        <f t="shared" si="85"/>
        <v>2</v>
      </c>
      <c r="F1314" s="270">
        <v>6672</v>
      </c>
    </row>
    <row r="1315" spans="2:6" ht="18" customHeight="1">
      <c r="B1315" s="242">
        <f t="shared" si="82"/>
        <v>46237</v>
      </c>
      <c r="C1315" s="123">
        <f t="shared" si="83"/>
        <v>2026</v>
      </c>
      <c r="D1315" s="123">
        <f t="shared" si="84"/>
        <v>8</v>
      </c>
      <c r="E1315" s="123">
        <f t="shared" si="85"/>
        <v>3</v>
      </c>
      <c r="F1315" s="270">
        <v>2781</v>
      </c>
    </row>
    <row r="1316" spans="2:6" ht="18" customHeight="1">
      <c r="B1316" s="242">
        <f t="shared" si="82"/>
        <v>46238</v>
      </c>
      <c r="C1316" s="123">
        <f t="shared" si="83"/>
        <v>2026</v>
      </c>
      <c r="D1316" s="123">
        <f t="shared" si="84"/>
        <v>8</v>
      </c>
      <c r="E1316" s="123">
        <f t="shared" si="85"/>
        <v>4</v>
      </c>
      <c r="F1316" s="270">
        <v>7236</v>
      </c>
    </row>
    <row r="1317" spans="2:6" ht="18" customHeight="1">
      <c r="B1317" s="242">
        <f t="shared" si="82"/>
        <v>46239</v>
      </c>
      <c r="C1317" s="123">
        <f t="shared" si="83"/>
        <v>2026</v>
      </c>
      <c r="D1317" s="123">
        <f t="shared" si="84"/>
        <v>8</v>
      </c>
      <c r="E1317" s="123">
        <f t="shared" si="85"/>
        <v>5</v>
      </c>
      <c r="F1317" s="270">
        <v>4477</v>
      </c>
    </row>
    <row r="1318" spans="2:6" ht="18" customHeight="1">
      <c r="B1318" s="242">
        <f t="shared" si="82"/>
        <v>46240</v>
      </c>
      <c r="C1318" s="123">
        <f t="shared" si="83"/>
        <v>2026</v>
      </c>
      <c r="D1318" s="123">
        <f t="shared" si="84"/>
        <v>8</v>
      </c>
      <c r="E1318" s="123">
        <f t="shared" si="85"/>
        <v>6</v>
      </c>
      <c r="F1318" s="270">
        <v>7394</v>
      </c>
    </row>
    <row r="1319" spans="2:6" ht="18" customHeight="1">
      <c r="B1319" s="242">
        <f t="shared" si="82"/>
        <v>46241</v>
      </c>
      <c r="C1319" s="123">
        <f t="shared" si="83"/>
        <v>2026</v>
      </c>
      <c r="D1319" s="123">
        <f t="shared" si="84"/>
        <v>8</v>
      </c>
      <c r="E1319" s="123">
        <f t="shared" si="85"/>
        <v>7</v>
      </c>
      <c r="F1319" s="270">
        <v>1958</v>
      </c>
    </row>
    <row r="1320" spans="2:6" ht="18" customHeight="1">
      <c r="B1320" s="242">
        <f t="shared" si="82"/>
        <v>46242</v>
      </c>
      <c r="C1320" s="123">
        <f t="shared" si="83"/>
        <v>2026</v>
      </c>
      <c r="D1320" s="123">
        <f t="shared" si="84"/>
        <v>8</v>
      </c>
      <c r="E1320" s="123">
        <f t="shared" si="85"/>
        <v>8</v>
      </c>
      <c r="F1320" s="270">
        <v>9525</v>
      </c>
    </row>
    <row r="1321" spans="2:6" ht="18" customHeight="1">
      <c r="B1321" s="242">
        <f t="shared" si="82"/>
        <v>46243</v>
      </c>
      <c r="C1321" s="123">
        <f t="shared" si="83"/>
        <v>2026</v>
      </c>
      <c r="D1321" s="123">
        <f t="shared" si="84"/>
        <v>8</v>
      </c>
      <c r="E1321" s="123">
        <f t="shared" si="85"/>
        <v>9</v>
      </c>
      <c r="F1321" s="270">
        <v>7833</v>
      </c>
    </row>
    <row r="1322" spans="2:6" ht="18" customHeight="1">
      <c r="B1322" s="242">
        <f t="shared" si="82"/>
        <v>46244</v>
      </c>
      <c r="C1322" s="123">
        <f t="shared" si="83"/>
        <v>2026</v>
      </c>
      <c r="D1322" s="123">
        <f t="shared" si="84"/>
        <v>8</v>
      </c>
      <c r="E1322" s="123">
        <f t="shared" si="85"/>
        <v>10</v>
      </c>
      <c r="F1322" s="270">
        <v>11169</v>
      </c>
    </row>
    <row r="1323" spans="2:6" ht="18" customHeight="1">
      <c r="B1323" s="242">
        <f t="shared" si="82"/>
        <v>46245</v>
      </c>
      <c r="C1323" s="123">
        <f t="shared" si="83"/>
        <v>2026</v>
      </c>
      <c r="D1323" s="123">
        <f t="shared" si="84"/>
        <v>8</v>
      </c>
      <c r="E1323" s="123">
        <f t="shared" si="85"/>
        <v>11</v>
      </c>
      <c r="F1323" s="270">
        <v>10697</v>
      </c>
    </row>
    <row r="1324" spans="2:6" ht="18" customHeight="1">
      <c r="B1324" s="242">
        <f t="shared" si="82"/>
        <v>46246</v>
      </c>
      <c r="C1324" s="123">
        <f t="shared" si="83"/>
        <v>2026</v>
      </c>
      <c r="D1324" s="123">
        <f t="shared" si="84"/>
        <v>8</v>
      </c>
      <c r="E1324" s="123">
        <f t="shared" si="85"/>
        <v>12</v>
      </c>
      <c r="F1324" s="270">
        <v>1394</v>
      </c>
    </row>
    <row r="1325" spans="2:6" ht="18" customHeight="1">
      <c r="B1325" s="242">
        <f t="shared" si="82"/>
        <v>46247</v>
      </c>
      <c r="C1325" s="123">
        <f t="shared" si="83"/>
        <v>2026</v>
      </c>
      <c r="D1325" s="123">
        <f t="shared" si="84"/>
        <v>8</v>
      </c>
      <c r="E1325" s="123">
        <f t="shared" si="85"/>
        <v>13</v>
      </c>
      <c r="F1325" s="270">
        <v>10431</v>
      </c>
    </row>
    <row r="1326" spans="2:6" ht="18" customHeight="1">
      <c r="B1326" s="242">
        <f t="shared" si="82"/>
        <v>46248</v>
      </c>
      <c r="C1326" s="123">
        <f t="shared" si="83"/>
        <v>2026</v>
      </c>
      <c r="D1326" s="123">
        <f t="shared" si="84"/>
        <v>8</v>
      </c>
      <c r="E1326" s="123">
        <f t="shared" si="85"/>
        <v>14</v>
      </c>
      <c r="F1326" s="270">
        <v>4708</v>
      </c>
    </row>
    <row r="1327" spans="2:6" ht="18" customHeight="1">
      <c r="B1327" s="242">
        <f t="shared" si="82"/>
        <v>46249</v>
      </c>
      <c r="C1327" s="123">
        <f t="shared" si="83"/>
        <v>2026</v>
      </c>
      <c r="D1327" s="123">
        <f t="shared" si="84"/>
        <v>8</v>
      </c>
      <c r="E1327" s="123">
        <f t="shared" si="85"/>
        <v>15</v>
      </c>
      <c r="F1327" s="270">
        <v>4042</v>
      </c>
    </row>
    <row r="1328" spans="2:6" ht="18" customHeight="1">
      <c r="B1328" s="242">
        <f t="shared" si="82"/>
        <v>46250</v>
      </c>
      <c r="C1328" s="123">
        <f t="shared" si="83"/>
        <v>2026</v>
      </c>
      <c r="D1328" s="123">
        <f t="shared" si="84"/>
        <v>8</v>
      </c>
      <c r="E1328" s="123">
        <f t="shared" si="85"/>
        <v>16</v>
      </c>
      <c r="F1328" s="270">
        <v>10355</v>
      </c>
    </row>
    <row r="1329" spans="2:6" ht="18" customHeight="1">
      <c r="B1329" s="242">
        <f t="shared" si="82"/>
        <v>46251</v>
      </c>
      <c r="C1329" s="123">
        <f t="shared" si="83"/>
        <v>2026</v>
      </c>
      <c r="D1329" s="123">
        <f t="shared" si="84"/>
        <v>8</v>
      </c>
      <c r="E1329" s="123">
        <f t="shared" si="85"/>
        <v>17</v>
      </c>
      <c r="F1329" s="270">
        <v>8747</v>
      </c>
    </row>
    <row r="1330" spans="2:6" ht="18" customHeight="1">
      <c r="B1330" s="242">
        <f t="shared" si="82"/>
        <v>46252</v>
      </c>
      <c r="C1330" s="123">
        <f t="shared" si="83"/>
        <v>2026</v>
      </c>
      <c r="D1330" s="123">
        <f t="shared" si="84"/>
        <v>8</v>
      </c>
      <c r="E1330" s="123">
        <f t="shared" si="85"/>
        <v>18</v>
      </c>
      <c r="F1330" s="270">
        <v>3408</v>
      </c>
    </row>
    <row r="1331" spans="2:6" ht="18" customHeight="1">
      <c r="B1331" s="242">
        <f t="shared" si="82"/>
        <v>46253</v>
      </c>
      <c r="C1331" s="123">
        <f t="shared" si="83"/>
        <v>2026</v>
      </c>
      <c r="D1331" s="123">
        <f t="shared" si="84"/>
        <v>8</v>
      </c>
      <c r="E1331" s="123">
        <f t="shared" si="85"/>
        <v>19</v>
      </c>
      <c r="F1331" s="270">
        <v>3800</v>
      </c>
    </row>
    <row r="1332" spans="2:6" ht="18" customHeight="1">
      <c r="B1332" s="242">
        <f t="shared" ref="B1332:B1395" si="86">+B1331+1</f>
        <v>46254</v>
      </c>
      <c r="C1332" s="123">
        <f t="shared" si="83"/>
        <v>2026</v>
      </c>
      <c r="D1332" s="123">
        <f t="shared" si="84"/>
        <v>8</v>
      </c>
      <c r="E1332" s="123">
        <f t="shared" si="85"/>
        <v>20</v>
      </c>
      <c r="F1332" s="270">
        <v>3871</v>
      </c>
    </row>
    <row r="1333" spans="2:6" ht="18" customHeight="1">
      <c r="B1333" s="242">
        <f t="shared" si="86"/>
        <v>46255</v>
      </c>
      <c r="C1333" s="123">
        <f t="shared" si="83"/>
        <v>2026</v>
      </c>
      <c r="D1333" s="123">
        <f t="shared" si="84"/>
        <v>8</v>
      </c>
      <c r="E1333" s="123">
        <f t="shared" si="85"/>
        <v>21</v>
      </c>
      <c r="F1333" s="270">
        <v>8342</v>
      </c>
    </row>
    <row r="1334" spans="2:6" ht="18" customHeight="1">
      <c r="B1334" s="242">
        <f t="shared" si="86"/>
        <v>46256</v>
      </c>
      <c r="C1334" s="123">
        <f t="shared" si="83"/>
        <v>2026</v>
      </c>
      <c r="D1334" s="123">
        <f t="shared" si="84"/>
        <v>8</v>
      </c>
      <c r="E1334" s="123">
        <f t="shared" si="85"/>
        <v>22</v>
      </c>
      <c r="F1334" s="270">
        <v>6701</v>
      </c>
    </row>
    <row r="1335" spans="2:6" ht="18" customHeight="1">
      <c r="B1335" s="242">
        <f t="shared" si="86"/>
        <v>46257</v>
      </c>
      <c r="C1335" s="123">
        <f t="shared" si="83"/>
        <v>2026</v>
      </c>
      <c r="D1335" s="123">
        <f t="shared" si="84"/>
        <v>8</v>
      </c>
      <c r="E1335" s="123">
        <f t="shared" si="85"/>
        <v>23</v>
      </c>
      <c r="F1335" s="270">
        <v>5612</v>
      </c>
    </row>
    <row r="1336" spans="2:6" ht="18" customHeight="1">
      <c r="B1336" s="242">
        <f t="shared" si="86"/>
        <v>46258</v>
      </c>
      <c r="C1336" s="123">
        <f t="shared" si="83"/>
        <v>2026</v>
      </c>
      <c r="D1336" s="123">
        <f t="shared" si="84"/>
        <v>8</v>
      </c>
      <c r="E1336" s="123">
        <f t="shared" si="85"/>
        <v>24</v>
      </c>
      <c r="F1336" s="270">
        <v>4999</v>
      </c>
    </row>
    <row r="1337" spans="2:6" ht="18" customHeight="1">
      <c r="B1337" s="242">
        <f t="shared" si="86"/>
        <v>46259</v>
      </c>
      <c r="C1337" s="123">
        <f t="shared" si="83"/>
        <v>2026</v>
      </c>
      <c r="D1337" s="123">
        <f t="shared" si="84"/>
        <v>8</v>
      </c>
      <c r="E1337" s="123">
        <f t="shared" si="85"/>
        <v>25</v>
      </c>
      <c r="F1337" s="270">
        <v>8486</v>
      </c>
    </row>
    <row r="1338" spans="2:6" ht="18" customHeight="1">
      <c r="B1338" s="242">
        <f t="shared" si="86"/>
        <v>46260</v>
      </c>
      <c r="C1338" s="123">
        <f t="shared" si="83"/>
        <v>2026</v>
      </c>
      <c r="D1338" s="123">
        <f t="shared" si="84"/>
        <v>8</v>
      </c>
      <c r="E1338" s="123">
        <f t="shared" si="85"/>
        <v>26</v>
      </c>
      <c r="F1338" s="270">
        <v>7836</v>
      </c>
    </row>
    <row r="1339" spans="2:6" ht="18" customHeight="1">
      <c r="B1339" s="242">
        <f t="shared" si="86"/>
        <v>46261</v>
      </c>
      <c r="C1339" s="123">
        <f t="shared" si="83"/>
        <v>2026</v>
      </c>
      <c r="D1339" s="123">
        <f t="shared" si="84"/>
        <v>8</v>
      </c>
      <c r="E1339" s="123">
        <f t="shared" si="85"/>
        <v>27</v>
      </c>
      <c r="F1339" s="270">
        <v>2643</v>
      </c>
    </row>
    <row r="1340" spans="2:6" ht="18" customHeight="1">
      <c r="B1340" s="242">
        <f t="shared" si="86"/>
        <v>46262</v>
      </c>
      <c r="C1340" s="123">
        <f t="shared" si="83"/>
        <v>2026</v>
      </c>
      <c r="D1340" s="123">
        <f t="shared" si="84"/>
        <v>8</v>
      </c>
      <c r="E1340" s="123">
        <f t="shared" si="85"/>
        <v>28</v>
      </c>
      <c r="F1340" s="270">
        <v>7924</v>
      </c>
    </row>
    <row r="1341" spans="2:6" ht="18" customHeight="1">
      <c r="B1341" s="242">
        <f t="shared" si="86"/>
        <v>46263</v>
      </c>
      <c r="C1341" s="123">
        <f t="shared" si="83"/>
        <v>2026</v>
      </c>
      <c r="D1341" s="123">
        <f t="shared" si="84"/>
        <v>8</v>
      </c>
      <c r="E1341" s="123">
        <f t="shared" si="85"/>
        <v>29</v>
      </c>
      <c r="F1341" s="270">
        <v>9605</v>
      </c>
    </row>
    <row r="1342" spans="2:6" ht="18" customHeight="1">
      <c r="B1342" s="242">
        <f t="shared" si="86"/>
        <v>46264</v>
      </c>
      <c r="C1342" s="123">
        <f t="shared" si="83"/>
        <v>2026</v>
      </c>
      <c r="D1342" s="123">
        <f t="shared" si="84"/>
        <v>8</v>
      </c>
      <c r="E1342" s="123">
        <f t="shared" si="85"/>
        <v>30</v>
      </c>
      <c r="F1342" s="270">
        <v>5719</v>
      </c>
    </row>
    <row r="1343" spans="2:6" ht="18" customHeight="1">
      <c r="B1343" s="242">
        <f t="shared" si="86"/>
        <v>46265</v>
      </c>
      <c r="C1343" s="123">
        <f t="shared" si="83"/>
        <v>2026</v>
      </c>
      <c r="D1343" s="123">
        <f t="shared" si="84"/>
        <v>8</v>
      </c>
      <c r="E1343" s="123">
        <f t="shared" si="85"/>
        <v>31</v>
      </c>
      <c r="F1343" s="270">
        <v>7967</v>
      </c>
    </row>
    <row r="1344" spans="2:6" ht="18" customHeight="1">
      <c r="B1344" s="242">
        <f t="shared" si="86"/>
        <v>46266</v>
      </c>
      <c r="C1344" s="123">
        <f t="shared" si="83"/>
        <v>2026</v>
      </c>
      <c r="D1344" s="123">
        <f t="shared" si="84"/>
        <v>9</v>
      </c>
      <c r="E1344" s="123">
        <f t="shared" si="85"/>
        <v>1</v>
      </c>
      <c r="F1344" s="270">
        <v>1302</v>
      </c>
    </row>
    <row r="1345" spans="2:6" ht="18" customHeight="1">
      <c r="B1345" s="242">
        <f t="shared" si="86"/>
        <v>46267</v>
      </c>
      <c r="C1345" s="123">
        <f t="shared" si="83"/>
        <v>2026</v>
      </c>
      <c r="D1345" s="123">
        <f t="shared" si="84"/>
        <v>9</v>
      </c>
      <c r="E1345" s="123">
        <f t="shared" si="85"/>
        <v>2</v>
      </c>
      <c r="F1345" s="270">
        <v>5177</v>
      </c>
    </row>
    <row r="1346" spans="2:6" ht="18" customHeight="1">
      <c r="B1346" s="242">
        <f t="shared" si="86"/>
        <v>46268</v>
      </c>
      <c r="C1346" s="123">
        <f t="shared" si="83"/>
        <v>2026</v>
      </c>
      <c r="D1346" s="123">
        <f t="shared" si="84"/>
        <v>9</v>
      </c>
      <c r="E1346" s="123">
        <f t="shared" si="85"/>
        <v>3</v>
      </c>
      <c r="F1346" s="270">
        <v>1882</v>
      </c>
    </row>
    <row r="1347" spans="2:6" ht="18" customHeight="1">
      <c r="B1347" s="242">
        <f t="shared" si="86"/>
        <v>46269</v>
      </c>
      <c r="C1347" s="123">
        <f t="shared" si="83"/>
        <v>2026</v>
      </c>
      <c r="D1347" s="123">
        <f t="shared" si="84"/>
        <v>9</v>
      </c>
      <c r="E1347" s="123">
        <f t="shared" si="85"/>
        <v>4</v>
      </c>
      <c r="F1347" s="270">
        <v>3671</v>
      </c>
    </row>
    <row r="1348" spans="2:6" ht="18" customHeight="1">
      <c r="B1348" s="242">
        <f t="shared" si="86"/>
        <v>46270</v>
      </c>
      <c r="C1348" s="123">
        <f t="shared" si="83"/>
        <v>2026</v>
      </c>
      <c r="D1348" s="123">
        <f t="shared" si="84"/>
        <v>9</v>
      </c>
      <c r="E1348" s="123">
        <f t="shared" si="85"/>
        <v>5</v>
      </c>
      <c r="F1348" s="270">
        <v>5079</v>
      </c>
    </row>
    <row r="1349" spans="2:6" ht="18" customHeight="1">
      <c r="B1349" s="242">
        <f t="shared" si="86"/>
        <v>46271</v>
      </c>
      <c r="C1349" s="123">
        <f t="shared" si="83"/>
        <v>2026</v>
      </c>
      <c r="D1349" s="123">
        <f t="shared" si="84"/>
        <v>9</v>
      </c>
      <c r="E1349" s="123">
        <f t="shared" si="85"/>
        <v>6</v>
      </c>
      <c r="F1349" s="270">
        <v>1819</v>
      </c>
    </row>
    <row r="1350" spans="2:6" ht="18" customHeight="1">
      <c r="B1350" s="242">
        <f t="shared" si="86"/>
        <v>46272</v>
      </c>
      <c r="C1350" s="123">
        <f t="shared" ref="C1350:C1413" si="87">YEAR(B1350)</f>
        <v>2026</v>
      </c>
      <c r="D1350" s="123">
        <f t="shared" ref="D1350:D1413" si="88">MONTH(B1350)</f>
        <v>9</v>
      </c>
      <c r="E1350" s="123">
        <f t="shared" ref="E1350:E1413" si="89">DAY(B1350)</f>
        <v>7</v>
      </c>
      <c r="F1350" s="270">
        <v>4025</v>
      </c>
    </row>
    <row r="1351" spans="2:6" ht="18" customHeight="1">
      <c r="B1351" s="242">
        <f t="shared" si="86"/>
        <v>46273</v>
      </c>
      <c r="C1351" s="123">
        <f t="shared" si="87"/>
        <v>2026</v>
      </c>
      <c r="D1351" s="123">
        <f t="shared" si="88"/>
        <v>9</v>
      </c>
      <c r="E1351" s="123">
        <f t="shared" si="89"/>
        <v>8</v>
      </c>
      <c r="F1351" s="270">
        <v>3936</v>
      </c>
    </row>
    <row r="1352" spans="2:6" ht="18" customHeight="1">
      <c r="B1352" s="242">
        <f t="shared" si="86"/>
        <v>46274</v>
      </c>
      <c r="C1352" s="123">
        <f t="shared" si="87"/>
        <v>2026</v>
      </c>
      <c r="D1352" s="123">
        <f t="shared" si="88"/>
        <v>9</v>
      </c>
      <c r="E1352" s="123">
        <f t="shared" si="89"/>
        <v>9</v>
      </c>
      <c r="F1352" s="270">
        <v>9143</v>
      </c>
    </row>
    <row r="1353" spans="2:6" ht="18" customHeight="1">
      <c r="B1353" s="242">
        <f t="shared" si="86"/>
        <v>46275</v>
      </c>
      <c r="C1353" s="123">
        <f t="shared" si="87"/>
        <v>2026</v>
      </c>
      <c r="D1353" s="123">
        <f t="shared" si="88"/>
        <v>9</v>
      </c>
      <c r="E1353" s="123">
        <f t="shared" si="89"/>
        <v>10</v>
      </c>
      <c r="F1353" s="270">
        <v>3780</v>
      </c>
    </row>
    <row r="1354" spans="2:6" ht="18" customHeight="1">
      <c r="B1354" s="242">
        <f t="shared" si="86"/>
        <v>46276</v>
      </c>
      <c r="C1354" s="123">
        <f t="shared" si="87"/>
        <v>2026</v>
      </c>
      <c r="D1354" s="123">
        <f t="shared" si="88"/>
        <v>9</v>
      </c>
      <c r="E1354" s="123">
        <f t="shared" si="89"/>
        <v>11</v>
      </c>
      <c r="F1354" s="270">
        <v>10366</v>
      </c>
    </row>
    <row r="1355" spans="2:6" ht="18" customHeight="1">
      <c r="B1355" s="242">
        <f t="shared" si="86"/>
        <v>46277</v>
      </c>
      <c r="C1355" s="123">
        <f t="shared" si="87"/>
        <v>2026</v>
      </c>
      <c r="D1355" s="123">
        <f t="shared" si="88"/>
        <v>9</v>
      </c>
      <c r="E1355" s="123">
        <f t="shared" si="89"/>
        <v>12</v>
      </c>
      <c r="F1355" s="270">
        <v>3477</v>
      </c>
    </row>
    <row r="1356" spans="2:6" ht="18" customHeight="1">
      <c r="B1356" s="242">
        <f t="shared" si="86"/>
        <v>46278</v>
      </c>
      <c r="C1356" s="123">
        <f t="shared" si="87"/>
        <v>2026</v>
      </c>
      <c r="D1356" s="123">
        <f t="shared" si="88"/>
        <v>9</v>
      </c>
      <c r="E1356" s="123">
        <f t="shared" si="89"/>
        <v>13</v>
      </c>
      <c r="F1356" s="270">
        <v>2531</v>
      </c>
    </row>
    <row r="1357" spans="2:6" ht="18" customHeight="1">
      <c r="B1357" s="242">
        <f t="shared" si="86"/>
        <v>46279</v>
      </c>
      <c r="C1357" s="123">
        <f t="shared" si="87"/>
        <v>2026</v>
      </c>
      <c r="D1357" s="123">
        <f t="shared" si="88"/>
        <v>9</v>
      </c>
      <c r="E1357" s="123">
        <f t="shared" si="89"/>
        <v>14</v>
      </c>
      <c r="F1357" s="270">
        <v>6382</v>
      </c>
    </row>
    <row r="1358" spans="2:6" ht="18" customHeight="1">
      <c r="B1358" s="242">
        <f t="shared" si="86"/>
        <v>46280</v>
      </c>
      <c r="C1358" s="123">
        <f t="shared" si="87"/>
        <v>2026</v>
      </c>
      <c r="D1358" s="123">
        <f t="shared" si="88"/>
        <v>9</v>
      </c>
      <c r="E1358" s="123">
        <f t="shared" si="89"/>
        <v>15</v>
      </c>
      <c r="F1358" s="270">
        <v>9291</v>
      </c>
    </row>
    <row r="1359" spans="2:6" ht="18" customHeight="1">
      <c r="B1359" s="242">
        <f t="shared" si="86"/>
        <v>46281</v>
      </c>
      <c r="C1359" s="123">
        <f t="shared" si="87"/>
        <v>2026</v>
      </c>
      <c r="D1359" s="123">
        <f t="shared" si="88"/>
        <v>9</v>
      </c>
      <c r="E1359" s="123">
        <f t="shared" si="89"/>
        <v>16</v>
      </c>
      <c r="F1359" s="270">
        <v>5168</v>
      </c>
    </row>
    <row r="1360" spans="2:6" ht="18" customHeight="1">
      <c r="B1360" s="242">
        <f t="shared" si="86"/>
        <v>46282</v>
      </c>
      <c r="C1360" s="123">
        <f t="shared" si="87"/>
        <v>2026</v>
      </c>
      <c r="D1360" s="123">
        <f t="shared" si="88"/>
        <v>9</v>
      </c>
      <c r="E1360" s="123">
        <f t="shared" si="89"/>
        <v>17</v>
      </c>
      <c r="F1360" s="270">
        <v>2063</v>
      </c>
    </row>
    <row r="1361" spans="2:6" ht="18" customHeight="1">
      <c r="B1361" s="242">
        <f t="shared" si="86"/>
        <v>46283</v>
      </c>
      <c r="C1361" s="123">
        <f t="shared" si="87"/>
        <v>2026</v>
      </c>
      <c r="D1361" s="123">
        <f t="shared" si="88"/>
        <v>9</v>
      </c>
      <c r="E1361" s="123">
        <f t="shared" si="89"/>
        <v>18</v>
      </c>
      <c r="F1361" s="270">
        <v>10101</v>
      </c>
    </row>
    <row r="1362" spans="2:6" ht="18" customHeight="1">
      <c r="B1362" s="242">
        <f t="shared" si="86"/>
        <v>46284</v>
      </c>
      <c r="C1362" s="123">
        <f t="shared" si="87"/>
        <v>2026</v>
      </c>
      <c r="D1362" s="123">
        <f t="shared" si="88"/>
        <v>9</v>
      </c>
      <c r="E1362" s="123">
        <f t="shared" si="89"/>
        <v>19</v>
      </c>
      <c r="F1362" s="270">
        <v>1789</v>
      </c>
    </row>
    <row r="1363" spans="2:6" ht="18" customHeight="1">
      <c r="B1363" s="242">
        <f t="shared" si="86"/>
        <v>46285</v>
      </c>
      <c r="C1363" s="123">
        <f t="shared" si="87"/>
        <v>2026</v>
      </c>
      <c r="D1363" s="123">
        <f t="shared" si="88"/>
        <v>9</v>
      </c>
      <c r="E1363" s="123">
        <f t="shared" si="89"/>
        <v>20</v>
      </c>
      <c r="F1363" s="270">
        <v>8013</v>
      </c>
    </row>
    <row r="1364" spans="2:6" ht="18" customHeight="1">
      <c r="B1364" s="242">
        <f t="shared" si="86"/>
        <v>46286</v>
      </c>
      <c r="C1364" s="123">
        <f t="shared" si="87"/>
        <v>2026</v>
      </c>
      <c r="D1364" s="123">
        <f t="shared" si="88"/>
        <v>9</v>
      </c>
      <c r="E1364" s="123">
        <f t="shared" si="89"/>
        <v>21</v>
      </c>
      <c r="F1364" s="270">
        <v>2989</v>
      </c>
    </row>
    <row r="1365" spans="2:6" ht="18" customHeight="1">
      <c r="B1365" s="242">
        <f t="shared" si="86"/>
        <v>46287</v>
      </c>
      <c r="C1365" s="123">
        <f t="shared" si="87"/>
        <v>2026</v>
      </c>
      <c r="D1365" s="123">
        <f t="shared" si="88"/>
        <v>9</v>
      </c>
      <c r="E1365" s="123">
        <f t="shared" si="89"/>
        <v>22</v>
      </c>
      <c r="F1365" s="270">
        <v>6696</v>
      </c>
    </row>
    <row r="1366" spans="2:6" ht="18" customHeight="1">
      <c r="B1366" s="242">
        <f t="shared" si="86"/>
        <v>46288</v>
      </c>
      <c r="C1366" s="123">
        <f t="shared" si="87"/>
        <v>2026</v>
      </c>
      <c r="D1366" s="123">
        <f t="shared" si="88"/>
        <v>9</v>
      </c>
      <c r="E1366" s="123">
        <f t="shared" si="89"/>
        <v>23</v>
      </c>
      <c r="F1366" s="270">
        <v>6298</v>
      </c>
    </row>
    <row r="1367" spans="2:6" ht="18" customHeight="1">
      <c r="B1367" s="242">
        <f t="shared" si="86"/>
        <v>46289</v>
      </c>
      <c r="C1367" s="123">
        <f t="shared" si="87"/>
        <v>2026</v>
      </c>
      <c r="D1367" s="123">
        <f t="shared" si="88"/>
        <v>9</v>
      </c>
      <c r="E1367" s="123">
        <f t="shared" si="89"/>
        <v>24</v>
      </c>
      <c r="F1367" s="270">
        <v>6909</v>
      </c>
    </row>
    <row r="1368" spans="2:6" ht="18" customHeight="1">
      <c r="B1368" s="242">
        <f t="shared" si="86"/>
        <v>46290</v>
      </c>
      <c r="C1368" s="123">
        <f t="shared" si="87"/>
        <v>2026</v>
      </c>
      <c r="D1368" s="123">
        <f t="shared" si="88"/>
        <v>9</v>
      </c>
      <c r="E1368" s="123">
        <f t="shared" si="89"/>
        <v>25</v>
      </c>
      <c r="F1368" s="270">
        <v>4006</v>
      </c>
    </row>
    <row r="1369" spans="2:6" ht="18" customHeight="1">
      <c r="B1369" s="242">
        <f t="shared" si="86"/>
        <v>46291</v>
      </c>
      <c r="C1369" s="123">
        <f t="shared" si="87"/>
        <v>2026</v>
      </c>
      <c r="D1369" s="123">
        <f t="shared" si="88"/>
        <v>9</v>
      </c>
      <c r="E1369" s="123">
        <f t="shared" si="89"/>
        <v>26</v>
      </c>
      <c r="F1369" s="270">
        <v>6695</v>
      </c>
    </row>
    <row r="1370" spans="2:6" ht="18" customHeight="1">
      <c r="B1370" s="242">
        <f t="shared" si="86"/>
        <v>46292</v>
      </c>
      <c r="C1370" s="123">
        <f t="shared" si="87"/>
        <v>2026</v>
      </c>
      <c r="D1370" s="123">
        <f t="shared" si="88"/>
        <v>9</v>
      </c>
      <c r="E1370" s="123">
        <f t="shared" si="89"/>
        <v>27</v>
      </c>
      <c r="F1370" s="270">
        <v>6144</v>
      </c>
    </row>
    <row r="1371" spans="2:6" ht="18" customHeight="1">
      <c r="B1371" s="242">
        <f t="shared" si="86"/>
        <v>46293</v>
      </c>
      <c r="C1371" s="123">
        <f t="shared" si="87"/>
        <v>2026</v>
      </c>
      <c r="D1371" s="123">
        <f t="shared" si="88"/>
        <v>9</v>
      </c>
      <c r="E1371" s="123">
        <f t="shared" si="89"/>
        <v>28</v>
      </c>
      <c r="F1371" s="270">
        <v>6046</v>
      </c>
    </row>
    <row r="1372" spans="2:6" ht="18" customHeight="1">
      <c r="B1372" s="242">
        <f t="shared" si="86"/>
        <v>46294</v>
      </c>
      <c r="C1372" s="123">
        <f t="shared" si="87"/>
        <v>2026</v>
      </c>
      <c r="D1372" s="123">
        <f t="shared" si="88"/>
        <v>9</v>
      </c>
      <c r="E1372" s="123">
        <f t="shared" si="89"/>
        <v>29</v>
      </c>
      <c r="F1372" s="270">
        <v>3562</v>
      </c>
    </row>
    <row r="1373" spans="2:6" ht="18" customHeight="1">
      <c r="B1373" s="242">
        <f t="shared" si="86"/>
        <v>46295</v>
      </c>
      <c r="C1373" s="123">
        <f t="shared" si="87"/>
        <v>2026</v>
      </c>
      <c r="D1373" s="123">
        <f t="shared" si="88"/>
        <v>9</v>
      </c>
      <c r="E1373" s="123">
        <f t="shared" si="89"/>
        <v>30</v>
      </c>
      <c r="F1373" s="270">
        <v>5644</v>
      </c>
    </row>
    <row r="1374" spans="2:6" ht="18" customHeight="1">
      <c r="B1374" s="242">
        <f t="shared" si="86"/>
        <v>46296</v>
      </c>
      <c r="C1374" s="123">
        <f t="shared" si="87"/>
        <v>2026</v>
      </c>
      <c r="D1374" s="123">
        <f t="shared" si="88"/>
        <v>10</v>
      </c>
      <c r="E1374" s="123">
        <f t="shared" si="89"/>
        <v>1</v>
      </c>
      <c r="F1374" s="270">
        <v>2357</v>
      </c>
    </row>
    <row r="1375" spans="2:6" ht="18" customHeight="1">
      <c r="B1375" s="242">
        <f t="shared" si="86"/>
        <v>46297</v>
      </c>
      <c r="C1375" s="123">
        <f t="shared" si="87"/>
        <v>2026</v>
      </c>
      <c r="D1375" s="123">
        <f t="shared" si="88"/>
        <v>10</v>
      </c>
      <c r="E1375" s="123">
        <f t="shared" si="89"/>
        <v>2</v>
      </c>
      <c r="F1375" s="270">
        <v>9401</v>
      </c>
    </row>
    <row r="1376" spans="2:6" ht="18" customHeight="1">
      <c r="B1376" s="242">
        <f t="shared" si="86"/>
        <v>46298</v>
      </c>
      <c r="C1376" s="123">
        <f t="shared" si="87"/>
        <v>2026</v>
      </c>
      <c r="D1376" s="123">
        <f t="shared" si="88"/>
        <v>10</v>
      </c>
      <c r="E1376" s="123">
        <f t="shared" si="89"/>
        <v>3</v>
      </c>
      <c r="F1376" s="270">
        <v>10121</v>
      </c>
    </row>
    <row r="1377" spans="2:6" ht="18" customHeight="1">
      <c r="B1377" s="242">
        <f t="shared" si="86"/>
        <v>46299</v>
      </c>
      <c r="C1377" s="123">
        <f t="shared" si="87"/>
        <v>2026</v>
      </c>
      <c r="D1377" s="123">
        <f t="shared" si="88"/>
        <v>10</v>
      </c>
      <c r="E1377" s="123">
        <f t="shared" si="89"/>
        <v>4</v>
      </c>
      <c r="F1377" s="270">
        <v>6491</v>
      </c>
    </row>
    <row r="1378" spans="2:6" ht="18" customHeight="1">
      <c r="B1378" s="242">
        <f t="shared" si="86"/>
        <v>46300</v>
      </c>
      <c r="C1378" s="123">
        <f t="shared" si="87"/>
        <v>2026</v>
      </c>
      <c r="D1378" s="123">
        <f t="shared" si="88"/>
        <v>10</v>
      </c>
      <c r="E1378" s="123">
        <f t="shared" si="89"/>
        <v>5</v>
      </c>
      <c r="F1378" s="270">
        <v>7999</v>
      </c>
    </row>
    <row r="1379" spans="2:6" ht="18" customHeight="1">
      <c r="B1379" s="242">
        <f t="shared" si="86"/>
        <v>46301</v>
      </c>
      <c r="C1379" s="123">
        <f t="shared" si="87"/>
        <v>2026</v>
      </c>
      <c r="D1379" s="123">
        <f t="shared" si="88"/>
        <v>10</v>
      </c>
      <c r="E1379" s="123">
        <f t="shared" si="89"/>
        <v>6</v>
      </c>
      <c r="F1379" s="270">
        <v>9757</v>
      </c>
    </row>
    <row r="1380" spans="2:6" ht="18" customHeight="1">
      <c r="B1380" s="242">
        <f t="shared" si="86"/>
        <v>46302</v>
      </c>
      <c r="C1380" s="123">
        <f t="shared" si="87"/>
        <v>2026</v>
      </c>
      <c r="D1380" s="123">
        <f t="shared" si="88"/>
        <v>10</v>
      </c>
      <c r="E1380" s="123">
        <f t="shared" si="89"/>
        <v>7</v>
      </c>
      <c r="F1380" s="270">
        <v>10022</v>
      </c>
    </row>
    <row r="1381" spans="2:6" ht="18" customHeight="1">
      <c r="B1381" s="242">
        <f t="shared" si="86"/>
        <v>46303</v>
      </c>
      <c r="C1381" s="123">
        <f t="shared" si="87"/>
        <v>2026</v>
      </c>
      <c r="D1381" s="123">
        <f t="shared" si="88"/>
        <v>10</v>
      </c>
      <c r="E1381" s="123">
        <f t="shared" si="89"/>
        <v>8</v>
      </c>
      <c r="F1381" s="270">
        <v>10504</v>
      </c>
    </row>
    <row r="1382" spans="2:6" ht="18" customHeight="1">
      <c r="B1382" s="242">
        <f t="shared" si="86"/>
        <v>46304</v>
      </c>
      <c r="C1382" s="123">
        <f t="shared" si="87"/>
        <v>2026</v>
      </c>
      <c r="D1382" s="123">
        <f t="shared" si="88"/>
        <v>10</v>
      </c>
      <c r="E1382" s="123">
        <f t="shared" si="89"/>
        <v>9</v>
      </c>
      <c r="F1382" s="270">
        <v>10069</v>
      </c>
    </row>
    <row r="1383" spans="2:6" ht="18" customHeight="1">
      <c r="B1383" s="242">
        <f t="shared" si="86"/>
        <v>46305</v>
      </c>
      <c r="C1383" s="123">
        <f t="shared" si="87"/>
        <v>2026</v>
      </c>
      <c r="D1383" s="123">
        <f t="shared" si="88"/>
        <v>10</v>
      </c>
      <c r="E1383" s="123">
        <f t="shared" si="89"/>
        <v>10</v>
      </c>
      <c r="F1383" s="270">
        <v>5686</v>
      </c>
    </row>
    <row r="1384" spans="2:6" ht="18" customHeight="1">
      <c r="B1384" s="242">
        <f t="shared" si="86"/>
        <v>46306</v>
      </c>
      <c r="C1384" s="123">
        <f t="shared" si="87"/>
        <v>2026</v>
      </c>
      <c r="D1384" s="123">
        <f t="shared" si="88"/>
        <v>10</v>
      </c>
      <c r="E1384" s="123">
        <f t="shared" si="89"/>
        <v>11</v>
      </c>
      <c r="F1384" s="270">
        <v>8966</v>
      </c>
    </row>
    <row r="1385" spans="2:6" ht="18" customHeight="1">
      <c r="B1385" s="242">
        <f t="shared" si="86"/>
        <v>46307</v>
      </c>
      <c r="C1385" s="123">
        <f t="shared" si="87"/>
        <v>2026</v>
      </c>
      <c r="D1385" s="123">
        <f t="shared" si="88"/>
        <v>10</v>
      </c>
      <c r="E1385" s="123">
        <f t="shared" si="89"/>
        <v>12</v>
      </c>
      <c r="F1385" s="270">
        <v>3604</v>
      </c>
    </row>
    <row r="1386" spans="2:6" ht="18" customHeight="1">
      <c r="B1386" s="242">
        <f t="shared" si="86"/>
        <v>46308</v>
      </c>
      <c r="C1386" s="123">
        <f t="shared" si="87"/>
        <v>2026</v>
      </c>
      <c r="D1386" s="123">
        <f t="shared" si="88"/>
        <v>10</v>
      </c>
      <c r="E1386" s="123">
        <f t="shared" si="89"/>
        <v>13</v>
      </c>
      <c r="F1386" s="270">
        <v>7032</v>
      </c>
    </row>
    <row r="1387" spans="2:6" ht="18" customHeight="1">
      <c r="B1387" s="242">
        <f t="shared" si="86"/>
        <v>46309</v>
      </c>
      <c r="C1387" s="123">
        <f t="shared" si="87"/>
        <v>2026</v>
      </c>
      <c r="D1387" s="123">
        <f t="shared" si="88"/>
        <v>10</v>
      </c>
      <c r="E1387" s="123">
        <f t="shared" si="89"/>
        <v>14</v>
      </c>
      <c r="F1387" s="270">
        <v>6768</v>
      </c>
    </row>
    <row r="1388" spans="2:6" ht="18" customHeight="1">
      <c r="B1388" s="242">
        <f t="shared" si="86"/>
        <v>46310</v>
      </c>
      <c r="C1388" s="123">
        <f t="shared" si="87"/>
        <v>2026</v>
      </c>
      <c r="D1388" s="123">
        <f t="shared" si="88"/>
        <v>10</v>
      </c>
      <c r="E1388" s="123">
        <f t="shared" si="89"/>
        <v>15</v>
      </c>
      <c r="F1388" s="270">
        <v>7062</v>
      </c>
    </row>
    <row r="1389" spans="2:6" ht="18" customHeight="1">
      <c r="B1389" s="242">
        <f t="shared" si="86"/>
        <v>46311</v>
      </c>
      <c r="C1389" s="123">
        <f t="shared" si="87"/>
        <v>2026</v>
      </c>
      <c r="D1389" s="123">
        <f t="shared" si="88"/>
        <v>10</v>
      </c>
      <c r="E1389" s="123">
        <f t="shared" si="89"/>
        <v>16</v>
      </c>
      <c r="F1389" s="270">
        <v>6182</v>
      </c>
    </row>
    <row r="1390" spans="2:6" ht="18" customHeight="1">
      <c r="B1390" s="242">
        <f t="shared" si="86"/>
        <v>46312</v>
      </c>
      <c r="C1390" s="123">
        <f t="shared" si="87"/>
        <v>2026</v>
      </c>
      <c r="D1390" s="123">
        <f t="shared" si="88"/>
        <v>10</v>
      </c>
      <c r="E1390" s="123">
        <f t="shared" si="89"/>
        <v>17</v>
      </c>
      <c r="F1390" s="270">
        <v>7097</v>
      </c>
    </row>
    <row r="1391" spans="2:6" ht="18" customHeight="1">
      <c r="B1391" s="242">
        <f t="shared" si="86"/>
        <v>46313</v>
      </c>
      <c r="C1391" s="123">
        <f t="shared" si="87"/>
        <v>2026</v>
      </c>
      <c r="D1391" s="123">
        <f t="shared" si="88"/>
        <v>10</v>
      </c>
      <c r="E1391" s="123">
        <f t="shared" si="89"/>
        <v>18</v>
      </c>
      <c r="F1391" s="270">
        <v>4169</v>
      </c>
    </row>
    <row r="1392" spans="2:6" ht="18" customHeight="1">
      <c r="B1392" s="242">
        <f t="shared" si="86"/>
        <v>46314</v>
      </c>
      <c r="C1392" s="123">
        <f t="shared" si="87"/>
        <v>2026</v>
      </c>
      <c r="D1392" s="123">
        <f t="shared" si="88"/>
        <v>10</v>
      </c>
      <c r="E1392" s="123">
        <f t="shared" si="89"/>
        <v>19</v>
      </c>
      <c r="F1392" s="270">
        <v>4021</v>
      </c>
    </row>
    <row r="1393" spans="2:6" ht="18" customHeight="1">
      <c r="B1393" s="242">
        <f t="shared" si="86"/>
        <v>46315</v>
      </c>
      <c r="C1393" s="123">
        <f t="shared" si="87"/>
        <v>2026</v>
      </c>
      <c r="D1393" s="123">
        <f t="shared" si="88"/>
        <v>10</v>
      </c>
      <c r="E1393" s="123">
        <f t="shared" si="89"/>
        <v>20</v>
      </c>
      <c r="F1393" s="270">
        <v>5757</v>
      </c>
    </row>
    <row r="1394" spans="2:6" ht="18" customHeight="1">
      <c r="B1394" s="242">
        <f t="shared" si="86"/>
        <v>46316</v>
      </c>
      <c r="C1394" s="123">
        <f t="shared" si="87"/>
        <v>2026</v>
      </c>
      <c r="D1394" s="123">
        <f t="shared" si="88"/>
        <v>10</v>
      </c>
      <c r="E1394" s="123">
        <f t="shared" si="89"/>
        <v>21</v>
      </c>
      <c r="F1394" s="270">
        <v>1554</v>
      </c>
    </row>
    <row r="1395" spans="2:6" ht="18" customHeight="1">
      <c r="B1395" s="242">
        <f t="shared" si="86"/>
        <v>46317</v>
      </c>
      <c r="C1395" s="123">
        <f t="shared" si="87"/>
        <v>2026</v>
      </c>
      <c r="D1395" s="123">
        <f t="shared" si="88"/>
        <v>10</v>
      </c>
      <c r="E1395" s="123">
        <f t="shared" si="89"/>
        <v>22</v>
      </c>
      <c r="F1395" s="270">
        <v>8649</v>
      </c>
    </row>
    <row r="1396" spans="2:6" ht="18" customHeight="1">
      <c r="B1396" s="242">
        <f t="shared" ref="B1396:B1459" si="90">+B1395+1</f>
        <v>46318</v>
      </c>
      <c r="C1396" s="123">
        <f t="shared" si="87"/>
        <v>2026</v>
      </c>
      <c r="D1396" s="123">
        <f t="shared" si="88"/>
        <v>10</v>
      </c>
      <c r="E1396" s="123">
        <f t="shared" si="89"/>
        <v>23</v>
      </c>
      <c r="F1396" s="270">
        <v>8720</v>
      </c>
    </row>
    <row r="1397" spans="2:6" ht="18" customHeight="1">
      <c r="B1397" s="242">
        <f t="shared" si="90"/>
        <v>46319</v>
      </c>
      <c r="C1397" s="123">
        <f t="shared" si="87"/>
        <v>2026</v>
      </c>
      <c r="D1397" s="123">
        <f t="shared" si="88"/>
        <v>10</v>
      </c>
      <c r="E1397" s="123">
        <f t="shared" si="89"/>
        <v>24</v>
      </c>
      <c r="F1397" s="270">
        <v>3846</v>
      </c>
    </row>
    <row r="1398" spans="2:6" ht="18" customHeight="1">
      <c r="B1398" s="242">
        <f t="shared" si="90"/>
        <v>46320</v>
      </c>
      <c r="C1398" s="123">
        <f t="shared" si="87"/>
        <v>2026</v>
      </c>
      <c r="D1398" s="123">
        <f t="shared" si="88"/>
        <v>10</v>
      </c>
      <c r="E1398" s="123">
        <f t="shared" si="89"/>
        <v>25</v>
      </c>
      <c r="F1398" s="270">
        <v>4084</v>
      </c>
    </row>
    <row r="1399" spans="2:6" ht="18" customHeight="1">
      <c r="B1399" s="242">
        <f t="shared" si="90"/>
        <v>46321</v>
      </c>
      <c r="C1399" s="123">
        <f t="shared" si="87"/>
        <v>2026</v>
      </c>
      <c r="D1399" s="123">
        <f t="shared" si="88"/>
        <v>10</v>
      </c>
      <c r="E1399" s="123">
        <f t="shared" si="89"/>
        <v>26</v>
      </c>
      <c r="F1399" s="270">
        <v>6644</v>
      </c>
    </row>
    <row r="1400" spans="2:6" ht="18" customHeight="1">
      <c r="B1400" s="242">
        <f t="shared" si="90"/>
        <v>46322</v>
      </c>
      <c r="C1400" s="123">
        <f t="shared" si="87"/>
        <v>2026</v>
      </c>
      <c r="D1400" s="123">
        <f t="shared" si="88"/>
        <v>10</v>
      </c>
      <c r="E1400" s="123">
        <f t="shared" si="89"/>
        <v>27</v>
      </c>
      <c r="F1400" s="270">
        <v>2714</v>
      </c>
    </row>
    <row r="1401" spans="2:6" ht="18" customHeight="1">
      <c r="B1401" s="242">
        <f t="shared" si="90"/>
        <v>46323</v>
      </c>
      <c r="C1401" s="123">
        <f t="shared" si="87"/>
        <v>2026</v>
      </c>
      <c r="D1401" s="123">
        <f t="shared" si="88"/>
        <v>10</v>
      </c>
      <c r="E1401" s="123">
        <f t="shared" si="89"/>
        <v>28</v>
      </c>
      <c r="F1401" s="270">
        <v>4550</v>
      </c>
    </row>
    <row r="1402" spans="2:6" ht="18" customHeight="1">
      <c r="B1402" s="242">
        <f t="shared" si="90"/>
        <v>46324</v>
      </c>
      <c r="C1402" s="123">
        <f t="shared" si="87"/>
        <v>2026</v>
      </c>
      <c r="D1402" s="123">
        <f t="shared" si="88"/>
        <v>10</v>
      </c>
      <c r="E1402" s="123">
        <f t="shared" si="89"/>
        <v>29</v>
      </c>
      <c r="F1402" s="270">
        <v>8354</v>
      </c>
    </row>
    <row r="1403" spans="2:6" ht="18" customHeight="1">
      <c r="B1403" s="242">
        <f t="shared" si="90"/>
        <v>46325</v>
      </c>
      <c r="C1403" s="123">
        <f t="shared" si="87"/>
        <v>2026</v>
      </c>
      <c r="D1403" s="123">
        <f t="shared" si="88"/>
        <v>10</v>
      </c>
      <c r="E1403" s="123">
        <f t="shared" si="89"/>
        <v>30</v>
      </c>
      <c r="F1403" s="270">
        <v>7429</v>
      </c>
    </row>
    <row r="1404" spans="2:6" ht="18" customHeight="1">
      <c r="B1404" s="242">
        <f t="shared" si="90"/>
        <v>46326</v>
      </c>
      <c r="C1404" s="123">
        <f t="shared" si="87"/>
        <v>2026</v>
      </c>
      <c r="D1404" s="123">
        <f t="shared" si="88"/>
        <v>10</v>
      </c>
      <c r="E1404" s="123">
        <f t="shared" si="89"/>
        <v>31</v>
      </c>
      <c r="F1404" s="270">
        <v>3114</v>
      </c>
    </row>
    <row r="1405" spans="2:6" ht="18" customHeight="1">
      <c r="B1405" s="242">
        <f t="shared" si="90"/>
        <v>46327</v>
      </c>
      <c r="C1405" s="123">
        <f t="shared" si="87"/>
        <v>2026</v>
      </c>
      <c r="D1405" s="123">
        <f t="shared" si="88"/>
        <v>11</v>
      </c>
      <c r="E1405" s="123">
        <f t="shared" si="89"/>
        <v>1</v>
      </c>
      <c r="F1405" s="270">
        <v>9244</v>
      </c>
    </row>
    <row r="1406" spans="2:6" ht="18" customHeight="1">
      <c r="B1406" s="242">
        <f t="shared" si="90"/>
        <v>46328</v>
      </c>
      <c r="C1406" s="123">
        <f t="shared" si="87"/>
        <v>2026</v>
      </c>
      <c r="D1406" s="123">
        <f t="shared" si="88"/>
        <v>11</v>
      </c>
      <c r="E1406" s="123">
        <f t="shared" si="89"/>
        <v>2</v>
      </c>
      <c r="F1406" s="270">
        <v>9324</v>
      </c>
    </row>
    <row r="1407" spans="2:6" ht="18" customHeight="1">
      <c r="B1407" s="242">
        <f t="shared" si="90"/>
        <v>46329</v>
      </c>
      <c r="C1407" s="123">
        <f t="shared" si="87"/>
        <v>2026</v>
      </c>
      <c r="D1407" s="123">
        <f t="shared" si="88"/>
        <v>11</v>
      </c>
      <c r="E1407" s="123">
        <f t="shared" si="89"/>
        <v>3</v>
      </c>
      <c r="F1407" s="270">
        <v>1409</v>
      </c>
    </row>
    <row r="1408" spans="2:6" ht="18" customHeight="1">
      <c r="B1408" s="242">
        <f t="shared" si="90"/>
        <v>46330</v>
      </c>
      <c r="C1408" s="123">
        <f t="shared" si="87"/>
        <v>2026</v>
      </c>
      <c r="D1408" s="123">
        <f t="shared" si="88"/>
        <v>11</v>
      </c>
      <c r="E1408" s="123">
        <f t="shared" si="89"/>
        <v>4</v>
      </c>
      <c r="F1408" s="270">
        <v>6833</v>
      </c>
    </row>
    <row r="1409" spans="2:6" ht="18" customHeight="1">
      <c r="B1409" s="242">
        <f t="shared" si="90"/>
        <v>46331</v>
      </c>
      <c r="C1409" s="123">
        <f t="shared" si="87"/>
        <v>2026</v>
      </c>
      <c r="D1409" s="123">
        <f t="shared" si="88"/>
        <v>11</v>
      </c>
      <c r="E1409" s="123">
        <f t="shared" si="89"/>
        <v>5</v>
      </c>
      <c r="F1409" s="270">
        <v>4574</v>
      </c>
    </row>
    <row r="1410" spans="2:6" ht="18" customHeight="1">
      <c r="B1410" s="242">
        <f t="shared" si="90"/>
        <v>46332</v>
      </c>
      <c r="C1410" s="123">
        <f t="shared" si="87"/>
        <v>2026</v>
      </c>
      <c r="D1410" s="123">
        <f t="shared" si="88"/>
        <v>11</v>
      </c>
      <c r="E1410" s="123">
        <f t="shared" si="89"/>
        <v>6</v>
      </c>
      <c r="F1410" s="270">
        <v>8129</v>
      </c>
    </row>
    <row r="1411" spans="2:6" ht="18" customHeight="1">
      <c r="B1411" s="242">
        <f t="shared" si="90"/>
        <v>46333</v>
      </c>
      <c r="C1411" s="123">
        <f t="shared" si="87"/>
        <v>2026</v>
      </c>
      <c r="D1411" s="123">
        <f t="shared" si="88"/>
        <v>11</v>
      </c>
      <c r="E1411" s="123">
        <f t="shared" si="89"/>
        <v>7</v>
      </c>
      <c r="F1411" s="270">
        <v>6967</v>
      </c>
    </row>
    <row r="1412" spans="2:6" ht="18" customHeight="1">
      <c r="B1412" s="242">
        <f t="shared" si="90"/>
        <v>46334</v>
      </c>
      <c r="C1412" s="123">
        <f t="shared" si="87"/>
        <v>2026</v>
      </c>
      <c r="D1412" s="123">
        <f t="shared" si="88"/>
        <v>11</v>
      </c>
      <c r="E1412" s="123">
        <f t="shared" si="89"/>
        <v>8</v>
      </c>
      <c r="F1412" s="270">
        <v>2779</v>
      </c>
    </row>
    <row r="1413" spans="2:6" ht="18" customHeight="1">
      <c r="B1413" s="242">
        <f t="shared" si="90"/>
        <v>46335</v>
      </c>
      <c r="C1413" s="123">
        <f t="shared" si="87"/>
        <v>2026</v>
      </c>
      <c r="D1413" s="123">
        <f t="shared" si="88"/>
        <v>11</v>
      </c>
      <c r="E1413" s="123">
        <f t="shared" si="89"/>
        <v>9</v>
      </c>
      <c r="F1413" s="270">
        <v>4687</v>
      </c>
    </row>
    <row r="1414" spans="2:6" ht="18" customHeight="1">
      <c r="B1414" s="242">
        <f t="shared" si="90"/>
        <v>46336</v>
      </c>
      <c r="C1414" s="123">
        <f t="shared" ref="C1414:C1465" si="91">YEAR(B1414)</f>
        <v>2026</v>
      </c>
      <c r="D1414" s="123">
        <f t="shared" ref="D1414:D1465" si="92">MONTH(B1414)</f>
        <v>11</v>
      </c>
      <c r="E1414" s="123">
        <f t="shared" ref="E1414:E1465" si="93">DAY(B1414)</f>
        <v>10</v>
      </c>
      <c r="F1414" s="270">
        <v>2368</v>
      </c>
    </row>
    <row r="1415" spans="2:6" ht="18" customHeight="1">
      <c r="B1415" s="242">
        <f t="shared" si="90"/>
        <v>46337</v>
      </c>
      <c r="C1415" s="123">
        <f t="shared" si="91"/>
        <v>2026</v>
      </c>
      <c r="D1415" s="123">
        <f t="shared" si="92"/>
        <v>11</v>
      </c>
      <c r="E1415" s="123">
        <f t="shared" si="93"/>
        <v>11</v>
      </c>
      <c r="F1415" s="270">
        <v>4755</v>
      </c>
    </row>
    <row r="1416" spans="2:6" ht="18" customHeight="1">
      <c r="B1416" s="242">
        <f t="shared" si="90"/>
        <v>46338</v>
      </c>
      <c r="C1416" s="123">
        <f t="shared" si="91"/>
        <v>2026</v>
      </c>
      <c r="D1416" s="123">
        <f t="shared" si="92"/>
        <v>11</v>
      </c>
      <c r="E1416" s="123">
        <f t="shared" si="93"/>
        <v>12</v>
      </c>
      <c r="F1416" s="270">
        <v>7995</v>
      </c>
    </row>
    <row r="1417" spans="2:6" ht="18" customHeight="1">
      <c r="B1417" s="242">
        <f t="shared" si="90"/>
        <v>46339</v>
      </c>
      <c r="C1417" s="123">
        <f t="shared" si="91"/>
        <v>2026</v>
      </c>
      <c r="D1417" s="123">
        <f t="shared" si="92"/>
        <v>11</v>
      </c>
      <c r="E1417" s="123">
        <f t="shared" si="93"/>
        <v>13</v>
      </c>
      <c r="F1417" s="270">
        <v>9559</v>
      </c>
    </row>
    <row r="1418" spans="2:6" ht="18" customHeight="1">
      <c r="B1418" s="242">
        <f t="shared" si="90"/>
        <v>46340</v>
      </c>
      <c r="C1418" s="123">
        <f t="shared" si="91"/>
        <v>2026</v>
      </c>
      <c r="D1418" s="123">
        <f t="shared" si="92"/>
        <v>11</v>
      </c>
      <c r="E1418" s="123">
        <f t="shared" si="93"/>
        <v>14</v>
      </c>
      <c r="F1418" s="270">
        <v>10200</v>
      </c>
    </row>
    <row r="1419" spans="2:6" ht="18" customHeight="1">
      <c r="B1419" s="242">
        <f t="shared" si="90"/>
        <v>46341</v>
      </c>
      <c r="C1419" s="123">
        <f t="shared" si="91"/>
        <v>2026</v>
      </c>
      <c r="D1419" s="123">
        <f t="shared" si="92"/>
        <v>11</v>
      </c>
      <c r="E1419" s="123">
        <f t="shared" si="93"/>
        <v>15</v>
      </c>
      <c r="F1419" s="270">
        <v>2949</v>
      </c>
    </row>
    <row r="1420" spans="2:6" ht="18" customHeight="1">
      <c r="B1420" s="242">
        <f t="shared" si="90"/>
        <v>46342</v>
      </c>
      <c r="C1420" s="123">
        <f t="shared" si="91"/>
        <v>2026</v>
      </c>
      <c r="D1420" s="123">
        <f t="shared" si="92"/>
        <v>11</v>
      </c>
      <c r="E1420" s="123">
        <f t="shared" si="93"/>
        <v>16</v>
      </c>
      <c r="F1420" s="270">
        <v>5895</v>
      </c>
    </row>
    <row r="1421" spans="2:6" ht="18" customHeight="1">
      <c r="B1421" s="242">
        <f t="shared" si="90"/>
        <v>46343</v>
      </c>
      <c r="C1421" s="123">
        <f t="shared" si="91"/>
        <v>2026</v>
      </c>
      <c r="D1421" s="123">
        <f t="shared" si="92"/>
        <v>11</v>
      </c>
      <c r="E1421" s="123">
        <f t="shared" si="93"/>
        <v>17</v>
      </c>
      <c r="F1421" s="270">
        <v>3581</v>
      </c>
    </row>
    <row r="1422" spans="2:6" ht="18" customHeight="1">
      <c r="B1422" s="242">
        <f t="shared" si="90"/>
        <v>46344</v>
      </c>
      <c r="C1422" s="123">
        <f t="shared" si="91"/>
        <v>2026</v>
      </c>
      <c r="D1422" s="123">
        <f t="shared" si="92"/>
        <v>11</v>
      </c>
      <c r="E1422" s="123">
        <f t="shared" si="93"/>
        <v>18</v>
      </c>
      <c r="F1422" s="270">
        <v>4325</v>
      </c>
    </row>
    <row r="1423" spans="2:6" ht="18" customHeight="1">
      <c r="B1423" s="242">
        <f t="shared" si="90"/>
        <v>46345</v>
      </c>
      <c r="C1423" s="123">
        <f t="shared" si="91"/>
        <v>2026</v>
      </c>
      <c r="D1423" s="123">
        <f t="shared" si="92"/>
        <v>11</v>
      </c>
      <c r="E1423" s="123">
        <f t="shared" si="93"/>
        <v>19</v>
      </c>
      <c r="F1423" s="270">
        <v>3879</v>
      </c>
    </row>
    <row r="1424" spans="2:6" ht="18" customHeight="1">
      <c r="B1424" s="242">
        <f t="shared" si="90"/>
        <v>46346</v>
      </c>
      <c r="C1424" s="123">
        <f t="shared" si="91"/>
        <v>2026</v>
      </c>
      <c r="D1424" s="123">
        <f t="shared" si="92"/>
        <v>11</v>
      </c>
      <c r="E1424" s="123">
        <f t="shared" si="93"/>
        <v>20</v>
      </c>
      <c r="F1424" s="270">
        <v>4946</v>
      </c>
    </row>
    <row r="1425" spans="2:6" ht="18" customHeight="1">
      <c r="B1425" s="242">
        <f t="shared" si="90"/>
        <v>46347</v>
      </c>
      <c r="C1425" s="123">
        <f t="shared" si="91"/>
        <v>2026</v>
      </c>
      <c r="D1425" s="123">
        <f t="shared" si="92"/>
        <v>11</v>
      </c>
      <c r="E1425" s="123">
        <f t="shared" si="93"/>
        <v>21</v>
      </c>
      <c r="F1425" s="270">
        <v>5608</v>
      </c>
    </row>
    <row r="1426" spans="2:6" ht="18" customHeight="1">
      <c r="B1426" s="242">
        <f t="shared" si="90"/>
        <v>46348</v>
      </c>
      <c r="C1426" s="123">
        <f t="shared" si="91"/>
        <v>2026</v>
      </c>
      <c r="D1426" s="123">
        <f t="shared" si="92"/>
        <v>11</v>
      </c>
      <c r="E1426" s="123">
        <f t="shared" si="93"/>
        <v>22</v>
      </c>
      <c r="F1426" s="270">
        <v>4823</v>
      </c>
    </row>
    <row r="1427" spans="2:6" ht="18" customHeight="1">
      <c r="B1427" s="242">
        <f t="shared" si="90"/>
        <v>46349</v>
      </c>
      <c r="C1427" s="123">
        <f t="shared" si="91"/>
        <v>2026</v>
      </c>
      <c r="D1427" s="123">
        <f t="shared" si="92"/>
        <v>11</v>
      </c>
      <c r="E1427" s="123">
        <f t="shared" si="93"/>
        <v>23</v>
      </c>
      <c r="F1427" s="270">
        <v>7524</v>
      </c>
    </row>
    <row r="1428" spans="2:6" ht="18" customHeight="1">
      <c r="B1428" s="242">
        <f t="shared" si="90"/>
        <v>46350</v>
      </c>
      <c r="C1428" s="123">
        <f t="shared" si="91"/>
        <v>2026</v>
      </c>
      <c r="D1428" s="123">
        <f t="shared" si="92"/>
        <v>11</v>
      </c>
      <c r="E1428" s="123">
        <f t="shared" si="93"/>
        <v>24</v>
      </c>
      <c r="F1428" s="270">
        <v>4833</v>
      </c>
    </row>
    <row r="1429" spans="2:6" ht="18" customHeight="1">
      <c r="B1429" s="242">
        <f t="shared" si="90"/>
        <v>46351</v>
      </c>
      <c r="C1429" s="123">
        <f t="shared" si="91"/>
        <v>2026</v>
      </c>
      <c r="D1429" s="123">
        <f t="shared" si="92"/>
        <v>11</v>
      </c>
      <c r="E1429" s="123">
        <f t="shared" si="93"/>
        <v>25</v>
      </c>
      <c r="F1429" s="270">
        <v>10007</v>
      </c>
    </row>
    <row r="1430" spans="2:6" ht="18" customHeight="1">
      <c r="B1430" s="242">
        <f t="shared" si="90"/>
        <v>46352</v>
      </c>
      <c r="C1430" s="123">
        <f t="shared" si="91"/>
        <v>2026</v>
      </c>
      <c r="D1430" s="123">
        <f t="shared" si="92"/>
        <v>11</v>
      </c>
      <c r="E1430" s="123">
        <f t="shared" si="93"/>
        <v>26</v>
      </c>
      <c r="F1430" s="270">
        <v>11139</v>
      </c>
    </row>
    <row r="1431" spans="2:6" ht="18" customHeight="1">
      <c r="B1431" s="242">
        <f t="shared" si="90"/>
        <v>46353</v>
      </c>
      <c r="C1431" s="123">
        <f t="shared" si="91"/>
        <v>2026</v>
      </c>
      <c r="D1431" s="123">
        <f t="shared" si="92"/>
        <v>11</v>
      </c>
      <c r="E1431" s="123">
        <f t="shared" si="93"/>
        <v>27</v>
      </c>
      <c r="F1431" s="270">
        <v>2865</v>
      </c>
    </row>
    <row r="1432" spans="2:6" ht="18" customHeight="1">
      <c r="B1432" s="242">
        <f t="shared" si="90"/>
        <v>46354</v>
      </c>
      <c r="C1432" s="123">
        <f t="shared" si="91"/>
        <v>2026</v>
      </c>
      <c r="D1432" s="123">
        <f t="shared" si="92"/>
        <v>11</v>
      </c>
      <c r="E1432" s="123">
        <f t="shared" si="93"/>
        <v>28</v>
      </c>
      <c r="F1432" s="270">
        <v>2297</v>
      </c>
    </row>
    <row r="1433" spans="2:6" ht="18" customHeight="1">
      <c r="B1433" s="242">
        <f t="shared" si="90"/>
        <v>46355</v>
      </c>
      <c r="C1433" s="123">
        <f t="shared" si="91"/>
        <v>2026</v>
      </c>
      <c r="D1433" s="123">
        <f t="shared" si="92"/>
        <v>11</v>
      </c>
      <c r="E1433" s="123">
        <f t="shared" si="93"/>
        <v>29</v>
      </c>
      <c r="F1433" s="270">
        <v>8228</v>
      </c>
    </row>
    <row r="1434" spans="2:6" ht="18" customHeight="1">
      <c r="B1434" s="242">
        <f t="shared" si="90"/>
        <v>46356</v>
      </c>
      <c r="C1434" s="123">
        <f t="shared" si="91"/>
        <v>2026</v>
      </c>
      <c r="D1434" s="123">
        <f t="shared" si="92"/>
        <v>11</v>
      </c>
      <c r="E1434" s="123">
        <f t="shared" si="93"/>
        <v>30</v>
      </c>
      <c r="F1434" s="270">
        <v>6955</v>
      </c>
    </row>
    <row r="1435" spans="2:6" ht="18" customHeight="1">
      <c r="B1435" s="242">
        <f t="shared" si="90"/>
        <v>46357</v>
      </c>
      <c r="C1435" s="123">
        <f t="shared" si="91"/>
        <v>2026</v>
      </c>
      <c r="D1435" s="123">
        <f t="shared" si="92"/>
        <v>12</v>
      </c>
      <c r="E1435" s="123">
        <f t="shared" si="93"/>
        <v>1</v>
      </c>
      <c r="F1435" s="270">
        <v>9327</v>
      </c>
    </row>
    <row r="1436" spans="2:6" ht="18" customHeight="1">
      <c r="B1436" s="242">
        <f t="shared" si="90"/>
        <v>46358</v>
      </c>
      <c r="C1436" s="123">
        <f t="shared" si="91"/>
        <v>2026</v>
      </c>
      <c r="D1436" s="123">
        <f t="shared" si="92"/>
        <v>12</v>
      </c>
      <c r="E1436" s="123">
        <f t="shared" si="93"/>
        <v>2</v>
      </c>
      <c r="F1436" s="270">
        <v>11004</v>
      </c>
    </row>
    <row r="1437" spans="2:6" ht="18" customHeight="1">
      <c r="B1437" s="242">
        <f t="shared" si="90"/>
        <v>46359</v>
      </c>
      <c r="C1437" s="123">
        <f t="shared" si="91"/>
        <v>2026</v>
      </c>
      <c r="D1437" s="123">
        <f t="shared" si="92"/>
        <v>12</v>
      </c>
      <c r="E1437" s="123">
        <f t="shared" si="93"/>
        <v>3</v>
      </c>
      <c r="F1437" s="270">
        <v>8061</v>
      </c>
    </row>
    <row r="1438" spans="2:6" ht="18" customHeight="1">
      <c r="B1438" s="242">
        <f t="shared" si="90"/>
        <v>46360</v>
      </c>
      <c r="C1438" s="123">
        <f t="shared" si="91"/>
        <v>2026</v>
      </c>
      <c r="D1438" s="123">
        <f t="shared" si="92"/>
        <v>12</v>
      </c>
      <c r="E1438" s="123">
        <f t="shared" si="93"/>
        <v>4</v>
      </c>
      <c r="F1438" s="270">
        <v>2368</v>
      </c>
    </row>
    <row r="1439" spans="2:6" ht="18" customHeight="1">
      <c r="B1439" s="242">
        <f t="shared" si="90"/>
        <v>46361</v>
      </c>
      <c r="C1439" s="123">
        <f t="shared" si="91"/>
        <v>2026</v>
      </c>
      <c r="D1439" s="123">
        <f t="shared" si="92"/>
        <v>12</v>
      </c>
      <c r="E1439" s="123">
        <f t="shared" si="93"/>
        <v>5</v>
      </c>
      <c r="F1439" s="270">
        <v>5230</v>
      </c>
    </row>
    <row r="1440" spans="2:6" ht="18" customHeight="1">
      <c r="B1440" s="242">
        <f t="shared" si="90"/>
        <v>46362</v>
      </c>
      <c r="C1440" s="123">
        <f t="shared" si="91"/>
        <v>2026</v>
      </c>
      <c r="D1440" s="123">
        <f t="shared" si="92"/>
        <v>12</v>
      </c>
      <c r="E1440" s="123">
        <f t="shared" si="93"/>
        <v>6</v>
      </c>
      <c r="F1440" s="270">
        <v>8959</v>
      </c>
    </row>
    <row r="1441" spans="2:6" ht="18" customHeight="1">
      <c r="B1441" s="242">
        <f t="shared" si="90"/>
        <v>46363</v>
      </c>
      <c r="C1441" s="123">
        <f t="shared" si="91"/>
        <v>2026</v>
      </c>
      <c r="D1441" s="123">
        <f t="shared" si="92"/>
        <v>12</v>
      </c>
      <c r="E1441" s="123">
        <f t="shared" si="93"/>
        <v>7</v>
      </c>
      <c r="F1441" s="270">
        <v>9814</v>
      </c>
    </row>
    <row r="1442" spans="2:6" ht="18" customHeight="1">
      <c r="B1442" s="242">
        <f t="shared" si="90"/>
        <v>46364</v>
      </c>
      <c r="C1442" s="123">
        <f t="shared" si="91"/>
        <v>2026</v>
      </c>
      <c r="D1442" s="123">
        <f t="shared" si="92"/>
        <v>12</v>
      </c>
      <c r="E1442" s="123">
        <f t="shared" si="93"/>
        <v>8</v>
      </c>
      <c r="F1442" s="270">
        <v>3243</v>
      </c>
    </row>
    <row r="1443" spans="2:6" ht="18" customHeight="1">
      <c r="B1443" s="242">
        <f t="shared" si="90"/>
        <v>46365</v>
      </c>
      <c r="C1443" s="123">
        <f t="shared" si="91"/>
        <v>2026</v>
      </c>
      <c r="D1443" s="123">
        <f t="shared" si="92"/>
        <v>12</v>
      </c>
      <c r="E1443" s="123">
        <f t="shared" si="93"/>
        <v>9</v>
      </c>
      <c r="F1443" s="270">
        <v>11145</v>
      </c>
    </row>
    <row r="1444" spans="2:6" ht="18" customHeight="1">
      <c r="B1444" s="242">
        <f t="shared" si="90"/>
        <v>46366</v>
      </c>
      <c r="C1444" s="123">
        <f t="shared" si="91"/>
        <v>2026</v>
      </c>
      <c r="D1444" s="123">
        <f t="shared" si="92"/>
        <v>12</v>
      </c>
      <c r="E1444" s="123">
        <f t="shared" si="93"/>
        <v>10</v>
      </c>
      <c r="F1444" s="270">
        <v>2103</v>
      </c>
    </row>
    <row r="1445" spans="2:6" ht="18" customHeight="1">
      <c r="B1445" s="242">
        <f t="shared" si="90"/>
        <v>46367</v>
      </c>
      <c r="C1445" s="123">
        <f t="shared" si="91"/>
        <v>2026</v>
      </c>
      <c r="D1445" s="123">
        <f t="shared" si="92"/>
        <v>12</v>
      </c>
      <c r="E1445" s="123">
        <f t="shared" si="93"/>
        <v>11</v>
      </c>
      <c r="F1445" s="270">
        <v>7924</v>
      </c>
    </row>
    <row r="1446" spans="2:6" ht="18" customHeight="1">
      <c r="B1446" s="242">
        <f t="shared" si="90"/>
        <v>46368</v>
      </c>
      <c r="C1446" s="123">
        <f t="shared" si="91"/>
        <v>2026</v>
      </c>
      <c r="D1446" s="123">
        <f t="shared" si="92"/>
        <v>12</v>
      </c>
      <c r="E1446" s="123">
        <f t="shared" si="93"/>
        <v>12</v>
      </c>
      <c r="F1446" s="270">
        <v>3638</v>
      </c>
    </row>
    <row r="1447" spans="2:6" ht="18" customHeight="1">
      <c r="B1447" s="242">
        <f t="shared" si="90"/>
        <v>46369</v>
      </c>
      <c r="C1447" s="123">
        <f t="shared" si="91"/>
        <v>2026</v>
      </c>
      <c r="D1447" s="123">
        <f t="shared" si="92"/>
        <v>12</v>
      </c>
      <c r="E1447" s="123">
        <f t="shared" si="93"/>
        <v>13</v>
      </c>
      <c r="F1447" s="270">
        <v>10186</v>
      </c>
    </row>
    <row r="1448" spans="2:6" ht="18" customHeight="1">
      <c r="B1448" s="242">
        <f t="shared" si="90"/>
        <v>46370</v>
      </c>
      <c r="C1448" s="123">
        <f t="shared" si="91"/>
        <v>2026</v>
      </c>
      <c r="D1448" s="123">
        <f t="shared" si="92"/>
        <v>12</v>
      </c>
      <c r="E1448" s="123">
        <f t="shared" si="93"/>
        <v>14</v>
      </c>
      <c r="F1448" s="270">
        <v>6126</v>
      </c>
    </row>
    <row r="1449" spans="2:6" ht="18" customHeight="1">
      <c r="B1449" s="242">
        <f t="shared" si="90"/>
        <v>46371</v>
      </c>
      <c r="C1449" s="123">
        <f t="shared" si="91"/>
        <v>2026</v>
      </c>
      <c r="D1449" s="123">
        <f t="shared" si="92"/>
        <v>12</v>
      </c>
      <c r="E1449" s="123">
        <f t="shared" si="93"/>
        <v>15</v>
      </c>
      <c r="F1449" s="270">
        <v>3553</v>
      </c>
    </row>
    <row r="1450" spans="2:6" ht="18" customHeight="1">
      <c r="B1450" s="242">
        <f t="shared" si="90"/>
        <v>46372</v>
      </c>
      <c r="C1450" s="123">
        <f t="shared" si="91"/>
        <v>2026</v>
      </c>
      <c r="D1450" s="123">
        <f t="shared" si="92"/>
        <v>12</v>
      </c>
      <c r="E1450" s="123">
        <f t="shared" si="93"/>
        <v>16</v>
      </c>
      <c r="F1450" s="270">
        <v>8228</v>
      </c>
    </row>
    <row r="1451" spans="2:6" ht="18" customHeight="1">
      <c r="B1451" s="242">
        <f t="shared" si="90"/>
        <v>46373</v>
      </c>
      <c r="C1451" s="123">
        <f t="shared" si="91"/>
        <v>2026</v>
      </c>
      <c r="D1451" s="123">
        <f t="shared" si="92"/>
        <v>12</v>
      </c>
      <c r="E1451" s="123">
        <f t="shared" si="93"/>
        <v>17</v>
      </c>
      <c r="F1451" s="270">
        <v>4423</v>
      </c>
    </row>
    <row r="1452" spans="2:6" ht="18" customHeight="1">
      <c r="B1452" s="242">
        <f t="shared" si="90"/>
        <v>46374</v>
      </c>
      <c r="C1452" s="123">
        <f t="shared" si="91"/>
        <v>2026</v>
      </c>
      <c r="D1452" s="123">
        <f t="shared" si="92"/>
        <v>12</v>
      </c>
      <c r="E1452" s="123">
        <f t="shared" si="93"/>
        <v>18</v>
      </c>
      <c r="F1452" s="270">
        <v>3300</v>
      </c>
    </row>
    <row r="1453" spans="2:6" ht="18" customHeight="1">
      <c r="B1453" s="242">
        <f t="shared" si="90"/>
        <v>46375</v>
      </c>
      <c r="C1453" s="123">
        <f t="shared" si="91"/>
        <v>2026</v>
      </c>
      <c r="D1453" s="123">
        <f t="shared" si="92"/>
        <v>12</v>
      </c>
      <c r="E1453" s="123">
        <f t="shared" si="93"/>
        <v>19</v>
      </c>
      <c r="F1453" s="270">
        <v>10764</v>
      </c>
    </row>
    <row r="1454" spans="2:6" ht="18" customHeight="1">
      <c r="B1454" s="242">
        <f t="shared" si="90"/>
        <v>46376</v>
      </c>
      <c r="C1454" s="123">
        <f t="shared" si="91"/>
        <v>2026</v>
      </c>
      <c r="D1454" s="123">
        <f t="shared" si="92"/>
        <v>12</v>
      </c>
      <c r="E1454" s="123">
        <f t="shared" si="93"/>
        <v>20</v>
      </c>
      <c r="F1454" s="270">
        <v>1767</v>
      </c>
    </row>
    <row r="1455" spans="2:6" ht="18" customHeight="1">
      <c r="B1455" s="242">
        <f t="shared" si="90"/>
        <v>46377</v>
      </c>
      <c r="C1455" s="123">
        <f t="shared" si="91"/>
        <v>2026</v>
      </c>
      <c r="D1455" s="123">
        <f t="shared" si="92"/>
        <v>12</v>
      </c>
      <c r="E1455" s="123">
        <f t="shared" si="93"/>
        <v>21</v>
      </c>
      <c r="F1455" s="270">
        <v>8294</v>
      </c>
    </row>
    <row r="1456" spans="2:6" ht="18" customHeight="1">
      <c r="B1456" s="242">
        <f t="shared" si="90"/>
        <v>46378</v>
      </c>
      <c r="C1456" s="123">
        <f t="shared" si="91"/>
        <v>2026</v>
      </c>
      <c r="D1456" s="123">
        <f t="shared" si="92"/>
        <v>12</v>
      </c>
      <c r="E1456" s="123">
        <f t="shared" si="93"/>
        <v>22</v>
      </c>
      <c r="F1456" s="270">
        <v>1644</v>
      </c>
    </row>
    <row r="1457" spans="2:6" ht="18" customHeight="1">
      <c r="B1457" s="242">
        <f t="shared" si="90"/>
        <v>46379</v>
      </c>
      <c r="C1457" s="123">
        <f t="shared" si="91"/>
        <v>2026</v>
      </c>
      <c r="D1457" s="123">
        <f t="shared" si="92"/>
        <v>12</v>
      </c>
      <c r="E1457" s="123">
        <f t="shared" si="93"/>
        <v>23</v>
      </c>
      <c r="F1457" s="270">
        <v>5450</v>
      </c>
    </row>
    <row r="1458" spans="2:6" ht="18" customHeight="1">
      <c r="B1458" s="242">
        <f t="shared" si="90"/>
        <v>46380</v>
      </c>
      <c r="C1458" s="123">
        <f t="shared" si="91"/>
        <v>2026</v>
      </c>
      <c r="D1458" s="123">
        <f t="shared" si="92"/>
        <v>12</v>
      </c>
      <c r="E1458" s="123">
        <f t="shared" si="93"/>
        <v>24</v>
      </c>
      <c r="F1458" s="270">
        <v>4004</v>
      </c>
    </row>
    <row r="1459" spans="2:6" ht="18" customHeight="1">
      <c r="B1459" s="242">
        <f t="shared" si="90"/>
        <v>46381</v>
      </c>
      <c r="C1459" s="123">
        <f t="shared" si="91"/>
        <v>2026</v>
      </c>
      <c r="D1459" s="123">
        <f t="shared" si="92"/>
        <v>12</v>
      </c>
      <c r="E1459" s="123">
        <f t="shared" si="93"/>
        <v>25</v>
      </c>
      <c r="F1459" s="270">
        <v>3090</v>
      </c>
    </row>
    <row r="1460" spans="2:6" ht="18" customHeight="1">
      <c r="B1460" s="242">
        <f t="shared" ref="B1460:B1465" si="94">+B1459+1</f>
        <v>46382</v>
      </c>
      <c r="C1460" s="123">
        <f t="shared" si="91"/>
        <v>2026</v>
      </c>
      <c r="D1460" s="123">
        <f t="shared" si="92"/>
        <v>12</v>
      </c>
      <c r="E1460" s="123">
        <f t="shared" si="93"/>
        <v>26</v>
      </c>
      <c r="F1460" s="270">
        <v>7354</v>
      </c>
    </row>
    <row r="1461" spans="2:6" ht="18" customHeight="1">
      <c r="B1461" s="242">
        <f t="shared" si="94"/>
        <v>46383</v>
      </c>
      <c r="C1461" s="123">
        <f t="shared" si="91"/>
        <v>2026</v>
      </c>
      <c r="D1461" s="123">
        <f t="shared" si="92"/>
        <v>12</v>
      </c>
      <c r="E1461" s="123">
        <f t="shared" si="93"/>
        <v>27</v>
      </c>
      <c r="F1461" s="270">
        <v>9847</v>
      </c>
    </row>
    <row r="1462" spans="2:6" ht="18" customHeight="1">
      <c r="B1462" s="242">
        <f t="shared" si="94"/>
        <v>46384</v>
      </c>
      <c r="C1462" s="123">
        <f t="shared" si="91"/>
        <v>2026</v>
      </c>
      <c r="D1462" s="123">
        <f t="shared" si="92"/>
        <v>12</v>
      </c>
      <c r="E1462" s="123">
        <f t="shared" si="93"/>
        <v>28</v>
      </c>
      <c r="F1462" s="270">
        <v>10135</v>
      </c>
    </row>
    <row r="1463" spans="2:6" ht="18" customHeight="1">
      <c r="B1463" s="242">
        <f t="shared" si="94"/>
        <v>46385</v>
      </c>
      <c r="C1463" s="123">
        <f t="shared" si="91"/>
        <v>2026</v>
      </c>
      <c r="D1463" s="123">
        <f t="shared" si="92"/>
        <v>12</v>
      </c>
      <c r="E1463" s="123">
        <f t="shared" si="93"/>
        <v>29</v>
      </c>
      <c r="F1463" s="270">
        <v>9293</v>
      </c>
    </row>
    <row r="1464" spans="2:6" ht="18" customHeight="1">
      <c r="B1464" s="242">
        <f t="shared" si="94"/>
        <v>46386</v>
      </c>
      <c r="C1464" s="123">
        <f t="shared" si="91"/>
        <v>2026</v>
      </c>
      <c r="D1464" s="123">
        <f t="shared" si="92"/>
        <v>12</v>
      </c>
      <c r="E1464" s="123">
        <f t="shared" si="93"/>
        <v>30</v>
      </c>
      <c r="F1464" s="270">
        <v>2361</v>
      </c>
    </row>
    <row r="1465" spans="2:6" ht="18" customHeight="1" thickBot="1">
      <c r="B1465" s="244">
        <f t="shared" si="94"/>
        <v>46387</v>
      </c>
      <c r="C1465" s="14">
        <f t="shared" si="91"/>
        <v>2026</v>
      </c>
      <c r="D1465" s="14">
        <f t="shared" si="92"/>
        <v>12</v>
      </c>
      <c r="E1465" s="14">
        <f t="shared" si="93"/>
        <v>31</v>
      </c>
      <c r="F1465" s="278">
        <v>1580</v>
      </c>
    </row>
  </sheetData>
  <phoneticPr fontId="2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7E645-821D-46FC-868E-231F814883B4}">
  <sheetPr>
    <tabColor theme="5" tint="0.79998168889431442"/>
  </sheetPr>
  <dimension ref="B1:G19"/>
  <sheetViews>
    <sheetView showGridLines="0" zoomScaleNormal="100" workbookViewId="0"/>
  </sheetViews>
  <sheetFormatPr defaultColWidth="9" defaultRowHeight="16" customHeight="1"/>
  <cols>
    <col min="1" max="1" width="3.58203125" style="104" customWidth="1"/>
    <col min="2" max="2" width="15.08203125" style="104" customWidth="1"/>
    <col min="3" max="4" width="9" style="104"/>
    <col min="5" max="5" width="9.08203125" style="170" bestFit="1" customWidth="1"/>
    <col min="6" max="6" width="9.58203125" style="104" bestFit="1" customWidth="1"/>
    <col min="7" max="16384" width="9" style="104"/>
  </cols>
  <sheetData>
    <row r="1" spans="2:7" ht="19.5" customHeight="1">
      <c r="B1" s="360" t="s">
        <v>291</v>
      </c>
    </row>
    <row r="3" spans="2:7" ht="6.4" customHeight="1" thickBot="1"/>
    <row r="4" spans="2:7" ht="16" customHeight="1" thickBot="1">
      <c r="B4" s="356">
        <v>46113</v>
      </c>
      <c r="C4" s="279" t="str">
        <f>TEXT(B4,"aaa")</f>
        <v>水</v>
      </c>
      <c r="E4" s="280" t="s">
        <v>228</v>
      </c>
      <c r="F4" s="280"/>
    </row>
    <row r="5" spans="2:7" ht="16" customHeight="1" thickBot="1">
      <c r="B5" s="358">
        <v>46114</v>
      </c>
      <c r="C5" s="107" t="str">
        <f t="shared" ref="C5:C18" si="0">TEXT(B5,"aaa")</f>
        <v>木</v>
      </c>
      <c r="E5" s="281">
        <v>46115</v>
      </c>
      <c r="F5" s="282"/>
    </row>
    <row r="6" spans="2:7" ht="16" customHeight="1" thickBot="1">
      <c r="B6" s="358">
        <v>46115</v>
      </c>
      <c r="C6" s="283" t="str">
        <f t="shared" si="0"/>
        <v>金</v>
      </c>
      <c r="E6" s="281">
        <v>46119</v>
      </c>
      <c r="F6" s="282"/>
    </row>
    <row r="7" spans="2:7" ht="16" customHeight="1" thickBot="1">
      <c r="B7" s="358">
        <v>46116</v>
      </c>
      <c r="C7" s="284" t="str">
        <f t="shared" si="0"/>
        <v>土</v>
      </c>
      <c r="E7" s="285">
        <v>46126</v>
      </c>
      <c r="F7" s="286"/>
    </row>
    <row r="8" spans="2:7" ht="16" customHeight="1" thickBot="1">
      <c r="B8" s="358">
        <v>46117</v>
      </c>
      <c r="C8" s="287" t="str">
        <f t="shared" si="0"/>
        <v>日</v>
      </c>
      <c r="E8" s="262"/>
    </row>
    <row r="9" spans="2:7" ht="16" customHeight="1" thickBot="1">
      <c r="B9" s="358">
        <v>46118</v>
      </c>
      <c r="C9" s="107" t="str">
        <f t="shared" si="0"/>
        <v>月</v>
      </c>
    </row>
    <row r="10" spans="2:7" ht="16" customHeight="1" thickBot="1">
      <c r="B10" s="358">
        <v>46119</v>
      </c>
      <c r="C10" s="283" t="str">
        <f t="shared" si="0"/>
        <v>火</v>
      </c>
      <c r="E10" s="280" t="s">
        <v>229</v>
      </c>
      <c r="F10" s="288">
        <v>46113</v>
      </c>
      <c r="G10" s="289"/>
    </row>
    <row r="11" spans="2:7" ht="16" customHeight="1" thickBot="1">
      <c r="B11" s="358">
        <v>46120</v>
      </c>
      <c r="C11" s="107" t="str">
        <f t="shared" si="0"/>
        <v>水</v>
      </c>
      <c r="E11" s="290" t="s">
        <v>230</v>
      </c>
      <c r="F11" s="291">
        <v>6</v>
      </c>
      <c r="G11" s="292" t="s">
        <v>231</v>
      </c>
    </row>
    <row r="12" spans="2:7" ht="16" customHeight="1" thickBot="1">
      <c r="B12" s="358">
        <v>46121</v>
      </c>
      <c r="C12" s="107" t="str">
        <f t="shared" si="0"/>
        <v>木</v>
      </c>
      <c r="E12" s="293" t="s">
        <v>232</v>
      </c>
      <c r="F12" s="294">
        <f>WORKDAY(F10,F11,E5:E7)</f>
        <v>46125</v>
      </c>
      <c r="G12" s="295"/>
    </row>
    <row r="13" spans="2:7" ht="16" customHeight="1" thickBot="1">
      <c r="B13" s="358">
        <v>46122</v>
      </c>
      <c r="C13" s="107" t="str">
        <f t="shared" si="0"/>
        <v>金</v>
      </c>
    </row>
    <row r="14" spans="2:7" ht="16" customHeight="1" thickBot="1">
      <c r="B14" s="358">
        <v>46123</v>
      </c>
      <c r="C14" s="284" t="str">
        <f t="shared" si="0"/>
        <v>土</v>
      </c>
      <c r="E14" s="104"/>
    </row>
    <row r="15" spans="2:7" ht="16" customHeight="1" thickBot="1">
      <c r="B15" s="358">
        <v>46124</v>
      </c>
      <c r="C15" s="287" t="str">
        <f t="shared" si="0"/>
        <v>日</v>
      </c>
      <c r="E15" s="280" t="s">
        <v>229</v>
      </c>
      <c r="F15" s="288">
        <f>+B4</f>
        <v>46113</v>
      </c>
      <c r="G15" s="289"/>
    </row>
    <row r="16" spans="2:7" ht="16" customHeight="1" thickBot="1">
      <c r="B16" s="358">
        <v>46125</v>
      </c>
      <c r="C16" s="107" t="str">
        <f t="shared" si="0"/>
        <v>月</v>
      </c>
      <c r="E16" s="296" t="s">
        <v>232</v>
      </c>
      <c r="F16" s="297">
        <f>+B18</f>
        <v>46127</v>
      </c>
      <c r="G16" s="107"/>
    </row>
    <row r="17" spans="2:7" ht="16" customHeight="1" thickBot="1">
      <c r="B17" s="357">
        <v>46126</v>
      </c>
      <c r="C17" s="283" t="str">
        <f t="shared" si="0"/>
        <v>火</v>
      </c>
      <c r="E17" s="298" t="s">
        <v>230</v>
      </c>
      <c r="F17" s="295">
        <f>NETWORKDAYS(F15,F16,E5:E7)</f>
        <v>8</v>
      </c>
      <c r="G17" s="299" t="s">
        <v>233</v>
      </c>
    </row>
    <row r="18" spans="2:7" ht="16" customHeight="1" thickBot="1">
      <c r="B18" s="359">
        <v>46127</v>
      </c>
      <c r="C18" s="14" t="str">
        <f t="shared" si="0"/>
        <v>水</v>
      </c>
      <c r="E18" s="104"/>
    </row>
    <row r="19" spans="2:7" ht="16" customHeight="1">
      <c r="E19" s="104"/>
    </row>
  </sheetData>
  <phoneticPr fontId="2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AB7A9-32AB-46CC-8A4C-351BE7E623FF}">
  <sheetPr>
    <tabColor theme="6" tint="0.79998168889431442"/>
  </sheetPr>
  <dimension ref="B1:D18"/>
  <sheetViews>
    <sheetView showGridLines="0" zoomScaleNormal="100" workbookViewId="0"/>
  </sheetViews>
  <sheetFormatPr defaultColWidth="9" defaultRowHeight="16" customHeight="1"/>
  <cols>
    <col min="1" max="1" width="3.58203125" style="104" customWidth="1"/>
    <col min="2" max="2" width="20.58203125" style="104" customWidth="1"/>
    <col min="3" max="3" width="12.58203125" style="104" customWidth="1"/>
    <col min="4" max="4" width="22.58203125" style="104" customWidth="1"/>
    <col min="5" max="16384" width="9" style="104"/>
  </cols>
  <sheetData>
    <row r="1" spans="2:4" ht="23" customHeight="1">
      <c r="B1" s="351" t="s">
        <v>278</v>
      </c>
    </row>
    <row r="2" spans="2:4" ht="18" customHeight="1"/>
    <row r="3" spans="2:4" ht="18" customHeight="1">
      <c r="B3" s="239" t="s">
        <v>202</v>
      </c>
      <c r="C3" s="240">
        <f ca="1">TODAY()</f>
        <v>46290</v>
      </c>
      <c r="D3" s="38"/>
    </row>
    <row r="4" spans="2:4" ht="18" customHeight="1" thickBot="1"/>
    <row r="5" spans="2:4" ht="18" customHeight="1">
      <c r="B5" s="3" t="s">
        <v>203</v>
      </c>
      <c r="C5" s="3"/>
      <c r="D5" s="4"/>
    </row>
    <row r="6" spans="2:4" ht="18" customHeight="1">
      <c r="B6" s="171"/>
      <c r="C6" s="241" t="s">
        <v>204</v>
      </c>
      <c r="D6" s="6" t="s">
        <v>205</v>
      </c>
    </row>
    <row r="7" spans="2:4" ht="18" customHeight="1">
      <c r="B7" s="186" t="s">
        <v>206</v>
      </c>
      <c r="C7" s="242">
        <v>46284</v>
      </c>
      <c r="D7" s="243">
        <f ca="1">C7-$C$3</f>
        <v>-6</v>
      </c>
    </row>
    <row r="8" spans="2:4" ht="18" customHeight="1">
      <c r="B8" s="10" t="s">
        <v>207</v>
      </c>
      <c r="C8" s="242">
        <v>46287</v>
      </c>
      <c r="D8" s="243">
        <f t="shared" ref="D8:D12" ca="1" si="0">C8-$C$3</f>
        <v>-3</v>
      </c>
    </row>
    <row r="9" spans="2:4" ht="18" customHeight="1">
      <c r="B9" s="10" t="s">
        <v>208</v>
      </c>
      <c r="C9" s="242">
        <v>46292</v>
      </c>
      <c r="D9" s="243">
        <f t="shared" ca="1" si="0"/>
        <v>2</v>
      </c>
    </row>
    <row r="10" spans="2:4" ht="18" customHeight="1">
      <c r="B10" s="10" t="s">
        <v>209</v>
      </c>
      <c r="C10" s="242">
        <v>46298</v>
      </c>
      <c r="D10" s="243">
        <f t="shared" ca="1" si="0"/>
        <v>8</v>
      </c>
    </row>
    <row r="11" spans="2:4" ht="18" customHeight="1">
      <c r="B11" s="10" t="s">
        <v>210</v>
      </c>
      <c r="C11" s="242">
        <v>46341</v>
      </c>
      <c r="D11" s="243">
        <f t="shared" ca="1" si="0"/>
        <v>51</v>
      </c>
    </row>
    <row r="12" spans="2:4" ht="18" customHeight="1" thickBot="1">
      <c r="B12" s="185" t="s">
        <v>211</v>
      </c>
      <c r="C12" s="244">
        <v>46383</v>
      </c>
      <c r="D12" s="353">
        <f t="shared" ca="1" si="0"/>
        <v>93</v>
      </c>
    </row>
    <row r="13" spans="2:4" ht="18" customHeight="1"/>
    <row r="14" spans="2:4" ht="18" customHeight="1"/>
    <row r="15" spans="2:4" ht="18" customHeight="1"/>
    <row r="16" spans="2:4" ht="18" customHeight="1"/>
    <row r="17" ht="18" customHeight="1"/>
    <row r="18" ht="18" customHeight="1"/>
  </sheetData>
  <phoneticPr fontId="2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13CBD-959A-42D1-8987-563E3F462B0E}">
  <sheetPr>
    <tabColor theme="6" tint="0.79998168889431442"/>
  </sheetPr>
  <dimension ref="B1:D15"/>
  <sheetViews>
    <sheetView showGridLines="0" zoomScaleNormal="100" workbookViewId="0"/>
  </sheetViews>
  <sheetFormatPr defaultColWidth="9" defaultRowHeight="16" customHeight="1"/>
  <cols>
    <col min="1" max="1" width="3.58203125" style="38" customWidth="1"/>
    <col min="2" max="4" width="15.58203125" style="38" customWidth="1"/>
    <col min="5" max="16384" width="9" style="38"/>
  </cols>
  <sheetData>
    <row r="1" spans="2:4" ht="24.5" customHeight="1">
      <c r="B1" s="342" t="s">
        <v>283</v>
      </c>
    </row>
    <row r="2" spans="2:4" ht="18" customHeight="1" thickBot="1"/>
    <row r="3" spans="2:4" ht="18" customHeight="1">
      <c r="B3" s="252" t="s">
        <v>216</v>
      </c>
      <c r="C3" s="252" t="s">
        <v>217</v>
      </c>
      <c r="D3" s="252" t="s">
        <v>218</v>
      </c>
    </row>
    <row r="4" spans="2:4" ht="18" customHeight="1">
      <c r="B4" s="253">
        <v>46145</v>
      </c>
      <c r="C4" s="254">
        <v>6</v>
      </c>
      <c r="D4" s="255">
        <f>EDATE(B4,C4)</f>
        <v>46329</v>
      </c>
    </row>
    <row r="5" spans="2:4" ht="18" customHeight="1">
      <c r="B5" s="253">
        <v>46151</v>
      </c>
      <c r="C5" s="254">
        <v>6</v>
      </c>
      <c r="D5" s="255">
        <f t="shared" ref="D5:D9" si="0">EDATE(B5,C5)</f>
        <v>46335</v>
      </c>
    </row>
    <row r="6" spans="2:4" ht="18" customHeight="1">
      <c r="B6" s="253">
        <v>46153</v>
      </c>
      <c r="C6" s="254">
        <v>6</v>
      </c>
      <c r="D6" s="255">
        <f t="shared" si="0"/>
        <v>46337</v>
      </c>
    </row>
    <row r="7" spans="2:4" ht="18" customHeight="1">
      <c r="B7" s="253">
        <v>46157</v>
      </c>
      <c r="C7" s="254">
        <v>6</v>
      </c>
      <c r="D7" s="255">
        <f t="shared" si="0"/>
        <v>46341</v>
      </c>
    </row>
    <row r="8" spans="2:4" ht="18" customHeight="1">
      <c r="B8" s="253">
        <v>46162</v>
      </c>
      <c r="C8" s="254">
        <v>6</v>
      </c>
      <c r="D8" s="255">
        <f t="shared" si="0"/>
        <v>46346</v>
      </c>
    </row>
    <row r="9" spans="2:4" ht="18" customHeight="1" thickBot="1">
      <c r="B9" s="256">
        <v>46170</v>
      </c>
      <c r="C9" s="257">
        <v>6</v>
      </c>
      <c r="D9" s="258">
        <f t="shared" si="0"/>
        <v>46354</v>
      </c>
    </row>
    <row r="10" spans="2:4" ht="18" customHeight="1"/>
    <row r="11" spans="2:4" ht="18" customHeight="1"/>
    <row r="12" spans="2:4" ht="18" customHeight="1"/>
    <row r="13" spans="2:4" ht="18" customHeight="1"/>
    <row r="14" spans="2:4" ht="18" customHeight="1"/>
    <row r="15" spans="2:4" ht="18" customHeight="1"/>
  </sheetData>
  <phoneticPr fontId="2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F18B1-B9C4-46A1-9B28-9164A7E44F7F}">
  <sheetPr>
    <tabColor theme="6" tint="0.79998168889431442"/>
  </sheetPr>
  <dimension ref="B1:K18"/>
  <sheetViews>
    <sheetView showGridLines="0" zoomScaleNormal="100" workbookViewId="0"/>
  </sheetViews>
  <sheetFormatPr defaultColWidth="9" defaultRowHeight="16" customHeight="1"/>
  <cols>
    <col min="1" max="1" width="3.58203125" style="104" customWidth="1"/>
    <col min="2" max="2" width="9" style="104"/>
    <col min="3" max="3" width="10.1640625" style="104" bestFit="1" customWidth="1"/>
    <col min="4" max="4" width="10.58203125" style="104" customWidth="1"/>
    <col min="5" max="5" width="10.5" style="104" customWidth="1"/>
    <col min="6" max="6" width="3.58203125" style="104" customWidth="1"/>
    <col min="7" max="7" width="6.83203125" style="104" customWidth="1"/>
    <col min="8" max="16384" width="9" style="104"/>
  </cols>
  <sheetData>
    <row r="1" spans="2:11" ht="23" customHeight="1">
      <c r="B1" s="351" t="s">
        <v>337</v>
      </c>
    </row>
    <row r="2" spans="2:11" ht="23" customHeight="1">
      <c r="B2" s="351" t="s">
        <v>282</v>
      </c>
    </row>
    <row r="3" spans="2:11" ht="18" customHeight="1" thickBot="1">
      <c r="G3" s="108"/>
    </row>
    <row r="4" spans="2:11" ht="18" customHeight="1">
      <c r="B4" s="105" t="s">
        <v>212</v>
      </c>
      <c r="C4" s="129"/>
      <c r="D4" s="129"/>
      <c r="E4" s="129"/>
    </row>
    <row r="5" spans="2:11" ht="18" customHeight="1">
      <c r="B5" s="130" t="s">
        <v>99</v>
      </c>
      <c r="E5" s="245">
        <v>46282</v>
      </c>
      <c r="G5" s="131" t="s">
        <v>213</v>
      </c>
    </row>
    <row r="6" spans="2:11" ht="18" customHeight="1"/>
    <row r="7" spans="2:11" ht="18" customHeight="1">
      <c r="C7" s="132" t="s">
        <v>100</v>
      </c>
      <c r="D7" s="132"/>
      <c r="E7" s="132"/>
    </row>
    <row r="8" spans="2:11" ht="18" customHeight="1">
      <c r="B8" s="106"/>
      <c r="C8" s="133" t="s">
        <v>101</v>
      </c>
      <c r="D8" s="133" t="s">
        <v>102</v>
      </c>
      <c r="E8" s="133" t="s">
        <v>103</v>
      </c>
      <c r="K8" s="134"/>
    </row>
    <row r="9" spans="2:11" ht="18" customHeight="1">
      <c r="B9" s="107" t="s">
        <v>40</v>
      </c>
      <c r="C9" s="52">
        <v>2254</v>
      </c>
      <c r="D9" s="135">
        <v>0.1</v>
      </c>
      <c r="E9" s="246">
        <f>ROUND(C9*(1+D9),0)</f>
        <v>2479</v>
      </c>
      <c r="G9" s="247" t="s">
        <v>214</v>
      </c>
    </row>
    <row r="10" spans="2:11" ht="18" customHeight="1">
      <c r="B10" s="107" t="s">
        <v>39</v>
      </c>
      <c r="C10" s="52">
        <v>314</v>
      </c>
      <c r="D10" s="135">
        <v>0.1</v>
      </c>
      <c r="E10" s="246">
        <f>ROUND(C10*(1+D10),0)</f>
        <v>345</v>
      </c>
      <c r="G10" s="247" t="s">
        <v>214</v>
      </c>
    </row>
    <row r="11" spans="2:11" ht="18" customHeight="1">
      <c r="B11" s="123" t="s">
        <v>104</v>
      </c>
      <c r="C11" s="20"/>
      <c r="D11" s="20"/>
      <c r="E11" s="20">
        <f>SUM(E9:E10)</f>
        <v>2824</v>
      </c>
      <c r="G11" s="131"/>
    </row>
    <row r="12" spans="2:11" ht="18" customHeight="1">
      <c r="B12" s="126"/>
      <c r="C12" s="248"/>
      <c r="D12" s="248"/>
      <c r="E12" s="249"/>
    </row>
    <row r="13" spans="2:11" ht="18" customHeight="1">
      <c r="B13" s="95" t="s">
        <v>280</v>
      </c>
      <c r="C13" s="250">
        <f>EOMONTH(E5,0)</f>
        <v>46295</v>
      </c>
      <c r="D13" s="144"/>
      <c r="E13" s="251"/>
      <c r="G13" s="354" t="s">
        <v>279</v>
      </c>
    </row>
    <row r="14" spans="2:11" ht="18" customHeight="1">
      <c r="B14" s="2" t="s">
        <v>215</v>
      </c>
      <c r="C14" s="250">
        <f>EOMONTH(E5,1)</f>
        <v>46326</v>
      </c>
      <c r="D14" s="144"/>
      <c r="E14" s="251"/>
      <c r="G14" s="354" t="s">
        <v>281</v>
      </c>
    </row>
    <row r="15" spans="2:11" ht="18" customHeight="1" thickBot="1">
      <c r="B15" s="136"/>
      <c r="C15" s="137"/>
      <c r="D15" s="137"/>
      <c r="E15" s="137"/>
    </row>
    <row r="16" spans="2:11" ht="18" customHeight="1"/>
    <row r="17" ht="18" customHeight="1"/>
    <row r="18" ht="18" customHeight="1"/>
  </sheetData>
  <phoneticPr fontId="2"/>
  <conditionalFormatting sqref="F9:F15">
    <cfRule type="expression" dxfId="0" priority="1">
      <formula>#REF!=0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FE497-622E-431A-BC14-252C7AA66E0D}">
  <sheetPr>
    <tabColor theme="6" tint="0.79998168889431442"/>
  </sheetPr>
  <dimension ref="B1:F13"/>
  <sheetViews>
    <sheetView showGridLines="0" zoomScaleNormal="100" workbookViewId="0"/>
  </sheetViews>
  <sheetFormatPr defaultColWidth="9" defaultRowHeight="16" customHeight="1"/>
  <cols>
    <col min="1" max="1" width="3.58203125" style="104" customWidth="1"/>
    <col min="2" max="2" width="6.75" style="104" customWidth="1"/>
    <col min="3" max="3" width="14.25" style="104" customWidth="1"/>
    <col min="4" max="4" width="14.5" style="104" customWidth="1"/>
    <col min="5" max="6" width="9.5" style="104" customWidth="1"/>
    <col min="7" max="16384" width="9" style="104"/>
  </cols>
  <sheetData>
    <row r="1" spans="2:6" ht="19.5" customHeight="1">
      <c r="B1" s="351" t="s">
        <v>286</v>
      </c>
    </row>
    <row r="2" spans="2:6" ht="18" customHeight="1" thickBot="1"/>
    <row r="3" spans="2:6" ht="18" customHeight="1">
      <c r="B3" s="330" t="s">
        <v>284</v>
      </c>
      <c r="C3" s="3"/>
      <c r="D3" s="3"/>
      <c r="E3" s="4"/>
      <c r="F3" s="4"/>
    </row>
    <row r="4" spans="2:6" ht="18" customHeight="1">
      <c r="B4" s="171"/>
      <c r="C4" s="171"/>
      <c r="D4" s="171"/>
      <c r="E4" s="237" t="s">
        <v>219</v>
      </c>
      <c r="F4" s="237"/>
    </row>
    <row r="5" spans="2:6" ht="18" customHeight="1">
      <c r="B5" s="8" t="s">
        <v>220</v>
      </c>
      <c r="C5" s="8" t="s">
        <v>221</v>
      </c>
      <c r="D5" s="172" t="s">
        <v>285</v>
      </c>
      <c r="E5" s="237" t="s">
        <v>222</v>
      </c>
      <c r="F5" s="237" t="s">
        <v>223</v>
      </c>
    </row>
    <row r="6" spans="2:6" ht="18" customHeight="1">
      <c r="B6" s="259" t="s">
        <v>13</v>
      </c>
      <c r="C6" s="242">
        <v>30154</v>
      </c>
      <c r="D6" s="242">
        <v>46295</v>
      </c>
      <c r="E6" s="20">
        <f>DATEDIF(C6,D6,"Y")</f>
        <v>44</v>
      </c>
      <c r="F6" s="20">
        <f>DATEDIF(C6,D6,"YM")</f>
        <v>2</v>
      </c>
    </row>
    <row r="7" spans="2:6" ht="18" customHeight="1">
      <c r="B7" s="259" t="s">
        <v>14</v>
      </c>
      <c r="C7" s="242">
        <v>31032</v>
      </c>
      <c r="D7" s="242">
        <v>46295</v>
      </c>
      <c r="E7" s="20">
        <f t="shared" ref="E7:E11" si="0">DATEDIF(C7,D7,"Y")</f>
        <v>41</v>
      </c>
      <c r="F7" s="20">
        <f t="shared" ref="F7:F11" si="1">DATEDIF(C7,D7,"YM")</f>
        <v>9</v>
      </c>
    </row>
    <row r="8" spans="2:6" ht="18" customHeight="1">
      <c r="B8" s="259" t="s">
        <v>16</v>
      </c>
      <c r="C8" s="242">
        <v>31126</v>
      </c>
      <c r="D8" s="242">
        <v>46295</v>
      </c>
      <c r="E8" s="20">
        <f t="shared" si="0"/>
        <v>41</v>
      </c>
      <c r="F8" s="20">
        <f t="shared" si="1"/>
        <v>6</v>
      </c>
    </row>
    <row r="9" spans="2:6" ht="18" customHeight="1">
      <c r="B9" s="259" t="s">
        <v>84</v>
      </c>
      <c r="C9" s="242">
        <v>32238</v>
      </c>
      <c r="D9" s="242">
        <v>46295</v>
      </c>
      <c r="E9" s="20">
        <f t="shared" si="0"/>
        <v>38</v>
      </c>
      <c r="F9" s="20">
        <f t="shared" si="1"/>
        <v>5</v>
      </c>
    </row>
    <row r="10" spans="2:6" ht="18" customHeight="1">
      <c r="B10" s="259" t="s">
        <v>85</v>
      </c>
      <c r="C10" s="242">
        <v>32640</v>
      </c>
      <c r="D10" s="242">
        <v>46295</v>
      </c>
      <c r="E10" s="20">
        <f t="shared" si="0"/>
        <v>37</v>
      </c>
      <c r="F10" s="20">
        <f t="shared" si="1"/>
        <v>4</v>
      </c>
    </row>
    <row r="11" spans="2:6" ht="18" customHeight="1">
      <c r="B11" s="259" t="s">
        <v>86</v>
      </c>
      <c r="C11" s="242">
        <v>33059</v>
      </c>
      <c r="D11" s="242">
        <v>46295</v>
      </c>
      <c r="E11" s="20">
        <f t="shared" si="0"/>
        <v>36</v>
      </c>
      <c r="F11" s="20">
        <f t="shared" si="1"/>
        <v>2</v>
      </c>
    </row>
    <row r="12" spans="2:6" ht="18" customHeight="1" thickBot="1">
      <c r="B12" s="185"/>
      <c r="C12" s="185"/>
      <c r="D12" s="260"/>
      <c r="E12" s="147"/>
      <c r="F12" s="261"/>
    </row>
    <row r="13" spans="2:6" ht="18" customHeight="1"/>
  </sheetData>
  <phoneticPr fontId="2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91B08-74D7-487D-941C-5C88B34C4E57}">
  <sheetPr>
    <tabColor theme="6" tint="0.79998168889431442"/>
  </sheetPr>
  <dimension ref="B1:J15"/>
  <sheetViews>
    <sheetView showGridLines="0" zoomScaleNormal="100" workbookViewId="0"/>
  </sheetViews>
  <sheetFormatPr defaultColWidth="9" defaultRowHeight="16" customHeight="1"/>
  <cols>
    <col min="1" max="1" width="3.58203125" style="300" customWidth="1"/>
    <col min="2" max="4" width="9" style="300"/>
    <col min="5" max="5" width="6.08203125" style="300" customWidth="1"/>
    <col min="6" max="16384" width="9" style="300"/>
  </cols>
  <sheetData>
    <row r="1" spans="2:10" ht="22" customHeight="1">
      <c r="B1" s="361" t="s">
        <v>292</v>
      </c>
    </row>
    <row r="2" spans="2:10" ht="10.75" customHeight="1" thickBot="1"/>
    <row r="3" spans="2:10" ht="18" customHeight="1">
      <c r="B3" s="301" t="s">
        <v>234</v>
      </c>
      <c r="C3" s="301" t="s">
        <v>235</v>
      </c>
      <c r="D3" s="301" t="s">
        <v>236</v>
      </c>
      <c r="F3" s="302" t="s">
        <v>237</v>
      </c>
      <c r="G3" s="303"/>
      <c r="H3" s="304"/>
    </row>
    <row r="4" spans="2:10" ht="18" customHeight="1">
      <c r="B4" s="305">
        <v>0.36805555555555558</v>
      </c>
      <c r="C4" s="305">
        <v>0.75</v>
      </c>
      <c r="D4" s="306">
        <f>C4-B4</f>
        <v>0.38194444444444442</v>
      </c>
      <c r="F4" s="307"/>
      <c r="G4" s="308"/>
      <c r="H4" s="308"/>
    </row>
    <row r="5" spans="2:10" ht="18" customHeight="1">
      <c r="B5" s="305">
        <v>0.37152777777777773</v>
      </c>
      <c r="C5" s="305">
        <v>0.77083333333333337</v>
      </c>
      <c r="D5" s="306">
        <f t="shared" ref="D5:D11" si="0">C5-B5</f>
        <v>0.39930555555555564</v>
      </c>
      <c r="F5" s="309" t="s">
        <v>238</v>
      </c>
      <c r="G5" s="310">
        <f>DAY(D12)</f>
        <v>3</v>
      </c>
      <c r="H5" s="311" t="s">
        <v>239</v>
      </c>
      <c r="I5" s="312" t="s">
        <v>240</v>
      </c>
      <c r="J5" s="313"/>
    </row>
    <row r="6" spans="2:10" ht="18" customHeight="1">
      <c r="B6" s="305">
        <v>0.36458333333333331</v>
      </c>
      <c r="C6" s="305">
        <v>0.78125</v>
      </c>
      <c r="D6" s="306">
        <f t="shared" si="0"/>
        <v>0.41666666666666669</v>
      </c>
      <c r="F6" s="309" t="s">
        <v>241</v>
      </c>
      <c r="G6" s="310">
        <f>HOUR(D12)</f>
        <v>4</v>
      </c>
      <c r="H6" s="311" t="s">
        <v>241</v>
      </c>
      <c r="I6" s="313"/>
      <c r="J6" s="313"/>
    </row>
    <row r="7" spans="2:10" ht="18" customHeight="1">
      <c r="B7" s="305">
        <v>0.375</v>
      </c>
      <c r="C7" s="305">
        <v>0.77083333333333337</v>
      </c>
      <c r="D7" s="306">
        <f t="shared" si="0"/>
        <v>0.39583333333333337</v>
      </c>
      <c r="F7" s="309" t="s">
        <v>242</v>
      </c>
      <c r="G7" s="52">
        <f>G5*24+G6</f>
        <v>76</v>
      </c>
      <c r="H7" s="309" t="s">
        <v>241</v>
      </c>
    </row>
    <row r="8" spans="2:10" ht="18" customHeight="1">
      <c r="B8" s="305">
        <v>0.36458333333333331</v>
      </c>
      <c r="C8" s="305">
        <v>0.73958333333333337</v>
      </c>
      <c r="D8" s="306">
        <f t="shared" si="0"/>
        <v>0.37500000000000006</v>
      </c>
      <c r="F8" s="309" t="s">
        <v>243</v>
      </c>
      <c r="G8" s="314">
        <v>1500</v>
      </c>
      <c r="H8" s="309" t="s">
        <v>123</v>
      </c>
    </row>
    <row r="9" spans="2:10" ht="18" customHeight="1" thickBot="1">
      <c r="B9" s="305">
        <v>0.36805555555555558</v>
      </c>
      <c r="C9" s="305">
        <v>0.72916666666666663</v>
      </c>
      <c r="D9" s="306">
        <f t="shared" si="0"/>
        <v>0.36111111111111105</v>
      </c>
      <c r="F9" s="315" t="s">
        <v>244</v>
      </c>
      <c r="G9" s="56">
        <f>G7*G8</f>
        <v>114000</v>
      </c>
      <c r="H9" s="315" t="s">
        <v>123</v>
      </c>
    </row>
    <row r="10" spans="2:10" ht="18" customHeight="1">
      <c r="B10" s="305">
        <v>0.3611111111111111</v>
      </c>
      <c r="C10" s="305">
        <v>0.77083333333333337</v>
      </c>
      <c r="D10" s="306">
        <f t="shared" si="0"/>
        <v>0.40972222222222227</v>
      </c>
    </row>
    <row r="11" spans="2:10" ht="18" customHeight="1">
      <c r="B11" s="305">
        <v>0.35416666666666669</v>
      </c>
      <c r="C11" s="305">
        <v>0.78125</v>
      </c>
      <c r="D11" s="306">
        <f t="shared" si="0"/>
        <v>0.42708333333333331</v>
      </c>
    </row>
    <row r="12" spans="2:10" ht="18" customHeight="1" thickBot="1">
      <c r="B12" s="316"/>
      <c r="C12" s="317" t="s">
        <v>245</v>
      </c>
      <c r="D12" s="318">
        <f>SUM(D4:D11)</f>
        <v>3.166666666666667</v>
      </c>
      <c r="E12" s="319" t="s">
        <v>246</v>
      </c>
      <c r="G12" s="39"/>
    </row>
    <row r="13" spans="2:10" ht="18" customHeight="1">
      <c r="D13" s="320"/>
    </row>
    <row r="14" spans="2:10" ht="18" customHeight="1"/>
    <row r="15" spans="2:10" ht="18" customHeight="1"/>
  </sheetData>
  <phoneticPr fontId="2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027F3-ECAB-42FB-8EDC-88AB9567F884}">
  <sheetPr>
    <tabColor theme="4" tint="0.79998168889431442"/>
  </sheetPr>
  <dimension ref="A1:F12"/>
  <sheetViews>
    <sheetView showGridLines="0" zoomScaleNormal="100" workbookViewId="0"/>
  </sheetViews>
  <sheetFormatPr defaultColWidth="12.75" defaultRowHeight="20.149999999999999" customHeight="1"/>
  <cols>
    <col min="1" max="1" width="3.58203125" style="28" customWidth="1"/>
    <col min="2" max="16384" width="12.75" style="28"/>
  </cols>
  <sheetData>
    <row r="1" spans="1:6" ht="20.149999999999999" customHeight="1">
      <c r="B1" s="335" t="s">
        <v>273</v>
      </c>
    </row>
    <row r="2" spans="1:6" ht="10.4" customHeight="1" thickBot="1"/>
    <row r="3" spans="1:6" ht="20.149999999999999" customHeight="1">
      <c r="A3" s="189"/>
      <c r="B3" s="190" t="s">
        <v>154</v>
      </c>
      <c r="C3" s="190"/>
      <c r="D3" s="189"/>
      <c r="E3" s="190" t="s">
        <v>272</v>
      </c>
      <c r="F3" s="30"/>
    </row>
    <row r="4" spans="1:6" ht="20.149999999999999" customHeight="1">
      <c r="B4" s="191" t="s">
        <v>155</v>
      </c>
      <c r="C4" s="166" t="s">
        <v>45</v>
      </c>
      <c r="E4" s="191" t="s">
        <v>155</v>
      </c>
      <c r="F4" s="166" t="s">
        <v>45</v>
      </c>
    </row>
    <row r="5" spans="1:6" ht="20.149999999999999" customHeight="1">
      <c r="B5" s="192" t="s">
        <v>156</v>
      </c>
      <c r="C5" s="193">
        <v>1000</v>
      </c>
      <c r="E5" s="192" t="s">
        <v>156</v>
      </c>
      <c r="F5" s="193">
        <v>1000</v>
      </c>
    </row>
    <row r="6" spans="1:6" ht="20.149999999999999" customHeight="1">
      <c r="B6" s="192" t="s">
        <v>157</v>
      </c>
      <c r="C6" s="193">
        <v>800</v>
      </c>
      <c r="E6" s="192" t="s">
        <v>157</v>
      </c>
      <c r="F6" s="193">
        <v>800</v>
      </c>
    </row>
    <row r="7" spans="1:6" ht="20.149999999999999" customHeight="1">
      <c r="B7" s="192" t="s">
        <v>158</v>
      </c>
      <c r="C7" s="193">
        <v>600</v>
      </c>
      <c r="E7" s="192" t="s">
        <v>158</v>
      </c>
      <c r="F7" s="193">
        <v>600</v>
      </c>
    </row>
    <row r="8" spans="1:6" ht="20.149999999999999" customHeight="1">
      <c r="B8" s="192" t="s">
        <v>159</v>
      </c>
      <c r="C8" s="193">
        <v>800</v>
      </c>
      <c r="E8" s="192" t="s">
        <v>159</v>
      </c>
      <c r="F8" s="193">
        <v>800</v>
      </c>
    </row>
    <row r="9" spans="1:6" ht="20.149999999999999" customHeight="1">
      <c r="B9" s="192" t="s">
        <v>160</v>
      </c>
      <c r="C9" s="193">
        <v>600</v>
      </c>
      <c r="E9" s="192" t="s">
        <v>160</v>
      </c>
      <c r="F9" s="193">
        <v>600</v>
      </c>
    </row>
    <row r="10" spans="1:6" ht="20.149999999999999" customHeight="1">
      <c r="B10" s="192" t="s">
        <v>161</v>
      </c>
      <c r="C10" s="193">
        <v>500</v>
      </c>
      <c r="E10" s="192" t="s">
        <v>161</v>
      </c>
      <c r="F10" s="193">
        <v>500</v>
      </c>
    </row>
    <row r="11" spans="1:6" ht="10.4" customHeight="1">
      <c r="B11" s="194"/>
      <c r="C11" s="195"/>
      <c r="E11" s="194"/>
      <c r="F11" s="195"/>
    </row>
    <row r="12" spans="1:6" ht="20.149999999999999" customHeight="1" thickBot="1">
      <c r="B12" s="196" t="s">
        <v>162</v>
      </c>
      <c r="C12" s="197">
        <f>SUM(C5:C10)</f>
        <v>4300</v>
      </c>
      <c r="E12" s="196" t="s">
        <v>162</v>
      </c>
      <c r="F12" s="197">
        <f>SUBTOTAL(9,F5:F10)</f>
        <v>4300</v>
      </c>
    </row>
  </sheetData>
  <autoFilter ref="B3:C10" xr:uid="{E4E027F3-ECAB-42FB-8EDC-88AB9567F884}"/>
  <phoneticPr fontId="2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DEF7D-26FB-4A7D-90C7-17AE2CECD986}">
  <sheetPr>
    <tabColor theme="4" tint="0.79998168889431442"/>
  </sheetPr>
  <dimension ref="B1:F15"/>
  <sheetViews>
    <sheetView showGridLines="0" zoomScaleNormal="100" workbookViewId="0"/>
  </sheetViews>
  <sheetFormatPr defaultColWidth="12.75" defaultRowHeight="16" customHeight="1"/>
  <cols>
    <col min="1" max="1" width="3.58203125" style="28" customWidth="1"/>
    <col min="2" max="16384" width="12.75" style="28"/>
  </cols>
  <sheetData>
    <row r="1" spans="2:6" ht="20.5" customHeight="1">
      <c r="B1" s="335" t="s">
        <v>274</v>
      </c>
    </row>
    <row r="2" spans="2:6" ht="6.4" customHeight="1" thickBot="1"/>
    <row r="3" spans="2:6" ht="16" customHeight="1">
      <c r="B3" s="190" t="s">
        <v>154</v>
      </c>
      <c r="C3" s="190"/>
      <c r="D3" s="189"/>
      <c r="E3" s="190" t="s">
        <v>272</v>
      </c>
      <c r="F3" s="30"/>
    </row>
    <row r="4" spans="2:6" ht="16" customHeight="1">
      <c r="B4" s="191" t="s">
        <v>155</v>
      </c>
      <c r="C4" s="166" t="s">
        <v>45</v>
      </c>
      <c r="E4" s="191" t="s">
        <v>155</v>
      </c>
      <c r="F4" s="166" t="s">
        <v>45</v>
      </c>
    </row>
    <row r="5" spans="2:6" ht="16" customHeight="1">
      <c r="B5" s="192" t="s">
        <v>156</v>
      </c>
      <c r="C5" s="193">
        <v>1000</v>
      </c>
      <c r="E5" s="192" t="s">
        <v>156</v>
      </c>
      <c r="F5" s="193">
        <v>1000</v>
      </c>
    </row>
    <row r="6" spans="2:6" ht="16" customHeight="1">
      <c r="B6" s="192" t="s">
        <v>157</v>
      </c>
      <c r="C6" s="193">
        <v>800</v>
      </c>
      <c r="E6" s="192" t="s">
        <v>157</v>
      </c>
      <c r="F6" s="193">
        <v>800</v>
      </c>
    </row>
    <row r="7" spans="2:6" ht="16" customHeight="1">
      <c r="B7" s="192" t="s">
        <v>158</v>
      </c>
      <c r="C7" s="193">
        <v>600</v>
      </c>
      <c r="E7" s="192" t="s">
        <v>158</v>
      </c>
      <c r="F7" s="193">
        <v>600</v>
      </c>
    </row>
    <row r="8" spans="2:6" ht="16" customHeight="1">
      <c r="B8" s="198" t="s">
        <v>163</v>
      </c>
      <c r="C8" s="193">
        <v>400</v>
      </c>
      <c r="E8" s="198" t="s">
        <v>163</v>
      </c>
      <c r="F8" s="193">
        <v>400</v>
      </c>
    </row>
    <row r="9" spans="2:6" ht="16" customHeight="1">
      <c r="B9" s="199" t="s">
        <v>164</v>
      </c>
      <c r="C9" s="200">
        <f>+SUM(C5:C8)</f>
        <v>2800</v>
      </c>
      <c r="D9" s="352" t="s">
        <v>165</v>
      </c>
      <c r="E9" s="199" t="s">
        <v>164</v>
      </c>
      <c r="F9" s="200">
        <f>SUBTOTAL(9,F5:F8)</f>
        <v>2800</v>
      </c>
    </row>
    <row r="10" spans="2:6" ht="16" customHeight="1">
      <c r="B10" s="192" t="s">
        <v>159</v>
      </c>
      <c r="C10" s="193">
        <v>800</v>
      </c>
      <c r="D10" s="189"/>
      <c r="E10" s="192" t="s">
        <v>159</v>
      </c>
      <c r="F10" s="193">
        <v>800</v>
      </c>
    </row>
    <row r="11" spans="2:6" ht="16" customHeight="1">
      <c r="B11" s="192" t="s">
        <v>160</v>
      </c>
      <c r="C11" s="193">
        <v>600</v>
      </c>
      <c r="D11" s="189"/>
      <c r="E11" s="192" t="s">
        <v>160</v>
      </c>
      <c r="F11" s="193">
        <v>600</v>
      </c>
    </row>
    <row r="12" spans="2:6" ht="16" customHeight="1">
      <c r="B12" s="192" t="s">
        <v>161</v>
      </c>
      <c r="C12" s="193">
        <v>500</v>
      </c>
      <c r="D12" s="189"/>
      <c r="E12" s="192" t="s">
        <v>161</v>
      </c>
      <c r="F12" s="193">
        <v>500</v>
      </c>
    </row>
    <row r="13" spans="2:6" ht="16" customHeight="1">
      <c r="B13" s="198" t="s">
        <v>163</v>
      </c>
      <c r="C13" s="193">
        <v>300</v>
      </c>
      <c r="D13" s="189"/>
      <c r="E13" s="198" t="s">
        <v>163</v>
      </c>
      <c r="F13" s="193">
        <v>300</v>
      </c>
    </row>
    <row r="14" spans="2:6" ht="16" customHeight="1">
      <c r="B14" s="199" t="s">
        <v>166</v>
      </c>
      <c r="C14" s="200">
        <f>+SUM(C10:C13)</f>
        <v>2200</v>
      </c>
      <c r="D14" s="352" t="s">
        <v>165</v>
      </c>
      <c r="E14" s="199" t="s">
        <v>166</v>
      </c>
      <c r="F14" s="200">
        <f>SUBTOTAL(9,F10:F13)</f>
        <v>2200</v>
      </c>
    </row>
    <row r="15" spans="2:6" ht="16" customHeight="1" thickBot="1">
      <c r="B15" s="196" t="s">
        <v>162</v>
      </c>
      <c r="C15" s="197">
        <f>SUM(C5:C14)</f>
        <v>10000</v>
      </c>
      <c r="E15" s="196" t="s">
        <v>162</v>
      </c>
      <c r="F15" s="197">
        <f>SUBTOTAL(9,F5:F14)</f>
        <v>5000</v>
      </c>
    </row>
  </sheetData>
  <phoneticPr fontId="2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CD8E7-A7C0-440C-9FAE-F115DA734FB4}">
  <sheetPr>
    <tabColor theme="4" tint="0.79998168889431442"/>
  </sheetPr>
  <dimension ref="B1:I16"/>
  <sheetViews>
    <sheetView showGridLines="0" zoomScaleNormal="100" workbookViewId="0"/>
  </sheetViews>
  <sheetFormatPr defaultColWidth="12.75" defaultRowHeight="16" customHeight="1"/>
  <cols>
    <col min="1" max="1" width="3.58203125" style="28" customWidth="1"/>
    <col min="2" max="3" width="8.58203125" style="28" customWidth="1"/>
    <col min="4" max="4" width="12.75" style="28"/>
    <col min="5" max="5" width="4.58203125" style="28" customWidth="1"/>
    <col min="6" max="6" width="9.75" style="28" customWidth="1"/>
    <col min="7" max="7" width="16.5" style="28" bestFit="1" customWidth="1"/>
    <col min="8" max="8" width="9.08203125" style="28" customWidth="1"/>
    <col min="9" max="16384" width="12.75" style="28"/>
  </cols>
  <sheetData>
    <row r="1" spans="2:9" ht="16" customHeight="1">
      <c r="B1" s="335" t="s">
        <v>275</v>
      </c>
    </row>
    <row r="2" spans="2:9" ht="16" customHeight="1" thickBot="1"/>
    <row r="3" spans="2:9" ht="16" customHeight="1">
      <c r="B3" s="157" t="s">
        <v>45</v>
      </c>
      <c r="C3" s="201"/>
      <c r="D3" s="201"/>
      <c r="F3" s="157"/>
      <c r="G3" s="157"/>
      <c r="H3" s="201" t="s">
        <v>167</v>
      </c>
    </row>
    <row r="4" spans="2:9" ht="16" customHeight="1">
      <c r="B4" s="191" t="s">
        <v>168</v>
      </c>
      <c r="C4" s="33" t="s">
        <v>169</v>
      </c>
      <c r="D4" s="33" t="s">
        <v>170</v>
      </c>
      <c r="F4" s="191"/>
      <c r="G4" s="191"/>
      <c r="H4" s="33" t="s">
        <v>171</v>
      </c>
    </row>
    <row r="5" spans="2:9" ht="16" customHeight="1">
      <c r="B5" s="202">
        <v>1</v>
      </c>
      <c r="C5" s="200">
        <v>125</v>
      </c>
      <c r="D5" s="200">
        <v>50</v>
      </c>
      <c r="F5" s="203" t="s">
        <v>172</v>
      </c>
      <c r="G5" s="204">
        <v>3</v>
      </c>
      <c r="H5" s="192"/>
    </row>
    <row r="6" spans="2:9" ht="16" customHeight="1" thickBot="1">
      <c r="B6" s="202">
        <f>+B5+1</f>
        <v>2</v>
      </c>
      <c r="C6" s="200">
        <v>150</v>
      </c>
      <c r="D6" s="200">
        <v>40</v>
      </c>
      <c r="F6" s="165" t="s">
        <v>173</v>
      </c>
      <c r="G6" s="205">
        <v>6</v>
      </c>
      <c r="H6" s="197">
        <f ca="1">H15</f>
        <v>725</v>
      </c>
    </row>
    <row r="7" spans="2:9" ht="16" customHeight="1">
      <c r="B7" s="202">
        <f t="shared" ref="B7:B16" si="0">+B6+1</f>
        <v>3</v>
      </c>
      <c r="C7" s="206">
        <v>100</v>
      </c>
      <c r="D7" s="206">
        <v>60</v>
      </c>
    </row>
    <row r="8" spans="2:9" ht="16" customHeight="1">
      <c r="B8" s="202">
        <f t="shared" si="0"/>
        <v>4</v>
      </c>
      <c r="C8" s="206">
        <v>120</v>
      </c>
      <c r="D8" s="206">
        <v>70</v>
      </c>
    </row>
    <row r="9" spans="2:9" ht="16" customHeight="1" thickBot="1">
      <c r="B9" s="202">
        <f t="shared" si="0"/>
        <v>5</v>
      </c>
      <c r="C9" s="206">
        <v>95</v>
      </c>
      <c r="D9" s="206">
        <v>50</v>
      </c>
    </row>
    <row r="10" spans="2:9" ht="16" customHeight="1">
      <c r="B10" s="202">
        <f t="shared" si="0"/>
        <v>6</v>
      </c>
      <c r="C10" s="206">
        <v>150</v>
      </c>
      <c r="D10" s="206">
        <v>80</v>
      </c>
      <c r="F10" s="153" t="s">
        <v>174</v>
      </c>
      <c r="G10" s="153"/>
      <c r="H10" s="153"/>
    </row>
    <row r="11" spans="2:9" ht="16" customHeight="1">
      <c r="B11" s="207">
        <f t="shared" si="0"/>
        <v>7</v>
      </c>
      <c r="C11" s="208">
        <v>100</v>
      </c>
      <c r="D11" s="208">
        <v>40</v>
      </c>
      <c r="F11" s="209" t="s">
        <v>175</v>
      </c>
      <c r="G11" s="203" t="s">
        <v>176</v>
      </c>
      <c r="H11" s="36">
        <f>G5-1</f>
        <v>2</v>
      </c>
      <c r="I11" s="210" t="s">
        <v>177</v>
      </c>
    </row>
    <row r="12" spans="2:9" ht="16" customHeight="1">
      <c r="B12" s="207">
        <f t="shared" si="0"/>
        <v>8</v>
      </c>
      <c r="C12" s="208">
        <v>85</v>
      </c>
      <c r="D12" s="208">
        <v>30</v>
      </c>
      <c r="F12" s="31"/>
      <c r="G12" s="203" t="s">
        <v>178</v>
      </c>
      <c r="H12" s="193">
        <v>0</v>
      </c>
      <c r="I12" s="211"/>
    </row>
    <row r="13" spans="2:9" ht="16" customHeight="1">
      <c r="B13" s="207">
        <f>+B12+1</f>
        <v>9</v>
      </c>
      <c r="C13" s="208">
        <v>130</v>
      </c>
      <c r="D13" s="208">
        <v>30</v>
      </c>
      <c r="F13" s="209" t="s">
        <v>179</v>
      </c>
      <c r="G13" s="203" t="s">
        <v>180</v>
      </c>
      <c r="H13" s="192">
        <f>G6-G5+1</f>
        <v>4</v>
      </c>
      <c r="I13" s="210" t="s">
        <v>181</v>
      </c>
    </row>
    <row r="14" spans="2:9" ht="16" customHeight="1">
      <c r="B14" s="207">
        <f t="shared" si="0"/>
        <v>10</v>
      </c>
      <c r="C14" s="208">
        <v>150</v>
      </c>
      <c r="D14" s="208">
        <v>50</v>
      </c>
      <c r="G14" s="203" t="s">
        <v>182</v>
      </c>
      <c r="H14" s="193">
        <v>2</v>
      </c>
    </row>
    <row r="15" spans="2:9" ht="16" customHeight="1" thickBot="1">
      <c r="B15" s="207">
        <f t="shared" si="0"/>
        <v>11</v>
      </c>
      <c r="C15" s="208">
        <v>110</v>
      </c>
      <c r="D15" s="208">
        <v>90</v>
      </c>
      <c r="F15" s="212"/>
      <c r="G15" s="165" t="s">
        <v>162</v>
      </c>
      <c r="H15" s="213">
        <f ca="1">SUM(OFFSET(C5,H11,H12,H13,H14))</f>
        <v>725</v>
      </c>
    </row>
    <row r="16" spans="2:9" ht="16" customHeight="1" thickBot="1">
      <c r="B16" s="214">
        <f t="shared" si="0"/>
        <v>12</v>
      </c>
      <c r="C16" s="215">
        <v>150</v>
      </c>
      <c r="D16" s="215">
        <v>80</v>
      </c>
    </row>
  </sheetData>
  <phoneticPr fontId="2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B774-4675-4BD6-A4C4-750FFD5DE190}">
  <sheetPr>
    <tabColor rgb="FFFF99CC"/>
  </sheetPr>
  <dimension ref="A1:D121"/>
  <sheetViews>
    <sheetView showGridLines="0" zoomScaleNormal="100" workbookViewId="0"/>
  </sheetViews>
  <sheetFormatPr defaultColWidth="9" defaultRowHeight="18" customHeight="1"/>
  <cols>
    <col min="1" max="1" width="8.58203125" style="2" customWidth="1"/>
    <col min="2" max="2" width="15.58203125" style="2" customWidth="1"/>
    <col min="3" max="4" width="12.58203125" style="2" customWidth="1"/>
    <col min="5" max="16384" width="9" style="2"/>
  </cols>
  <sheetData>
    <row r="1" spans="1:4" ht="18" customHeight="1">
      <c r="A1" s="95" t="s">
        <v>44</v>
      </c>
      <c r="B1" s="2" t="s">
        <v>27</v>
      </c>
      <c r="C1" s="2" t="s">
        <v>58</v>
      </c>
      <c r="D1" s="96" t="s">
        <v>45</v>
      </c>
    </row>
    <row r="2" spans="1:4" ht="18" customHeight="1">
      <c r="A2" s="97" t="s">
        <v>48</v>
      </c>
      <c r="B2" s="98" t="s">
        <v>40</v>
      </c>
      <c r="C2" s="98" t="s">
        <v>59</v>
      </c>
      <c r="D2" s="98">
        <v>150000</v>
      </c>
    </row>
    <row r="3" spans="1:4" ht="18" customHeight="1">
      <c r="A3" s="97" t="s">
        <v>50</v>
      </c>
      <c r="B3" s="98" t="s">
        <v>39</v>
      </c>
      <c r="C3" s="98" t="s">
        <v>60</v>
      </c>
      <c r="D3" s="98">
        <v>38000</v>
      </c>
    </row>
    <row r="4" spans="1:4" ht="18" customHeight="1">
      <c r="A4" s="97" t="s">
        <v>50</v>
      </c>
      <c r="B4" s="98" t="s">
        <v>40</v>
      </c>
      <c r="C4" s="98" t="s">
        <v>61</v>
      </c>
      <c r="D4" s="98">
        <v>150000</v>
      </c>
    </row>
    <row r="5" spans="1:4" ht="18" customHeight="1">
      <c r="A5" s="97" t="s">
        <v>48</v>
      </c>
      <c r="B5" s="98" t="s">
        <v>57</v>
      </c>
      <c r="C5" s="98" t="s">
        <v>62</v>
      </c>
      <c r="D5" s="98">
        <v>30000</v>
      </c>
    </row>
    <row r="6" spans="1:4" ht="18" customHeight="1">
      <c r="A6" s="97" t="s">
        <v>48</v>
      </c>
      <c r="B6" s="98" t="s">
        <v>57</v>
      </c>
      <c r="C6" s="98" t="s">
        <v>63</v>
      </c>
      <c r="D6" s="98">
        <v>30000</v>
      </c>
    </row>
    <row r="7" spans="1:4" ht="18" customHeight="1">
      <c r="A7" s="97" t="s">
        <v>48</v>
      </c>
      <c r="B7" s="98" t="s">
        <v>39</v>
      </c>
      <c r="C7" s="98" t="s">
        <v>64</v>
      </c>
      <c r="D7" s="98">
        <v>38000</v>
      </c>
    </row>
    <row r="8" spans="1:4" ht="18" customHeight="1">
      <c r="A8" s="97" t="s">
        <v>50</v>
      </c>
      <c r="B8" s="98" t="s">
        <v>40</v>
      </c>
      <c r="C8" s="98" t="s">
        <v>65</v>
      </c>
      <c r="D8" s="98">
        <v>150000</v>
      </c>
    </row>
    <row r="9" spans="1:4" ht="18" customHeight="1">
      <c r="A9" s="97" t="s">
        <v>50</v>
      </c>
      <c r="B9" s="98" t="s">
        <v>40</v>
      </c>
      <c r="C9" s="98" t="s">
        <v>62</v>
      </c>
      <c r="D9" s="98">
        <v>150000</v>
      </c>
    </row>
    <row r="10" spans="1:4" ht="18" customHeight="1">
      <c r="A10" s="97" t="s">
        <v>48</v>
      </c>
      <c r="B10" s="98" t="s">
        <v>40</v>
      </c>
      <c r="C10" s="98" t="s">
        <v>63</v>
      </c>
      <c r="D10" s="98">
        <v>150000</v>
      </c>
    </row>
    <row r="11" spans="1:4" ht="18" customHeight="1">
      <c r="A11" s="97" t="s">
        <v>48</v>
      </c>
      <c r="B11" s="98" t="s">
        <v>39</v>
      </c>
      <c r="C11" s="98" t="s">
        <v>64</v>
      </c>
      <c r="D11" s="98">
        <v>38000</v>
      </c>
    </row>
    <row r="12" spans="1:4" ht="18" customHeight="1">
      <c r="A12" s="97" t="s">
        <v>48</v>
      </c>
      <c r="B12" s="98" t="s">
        <v>40</v>
      </c>
      <c r="C12" s="98" t="s">
        <v>65</v>
      </c>
      <c r="D12" s="98">
        <v>150000</v>
      </c>
    </row>
    <row r="13" spans="1:4" ht="18" customHeight="1">
      <c r="A13" s="97" t="s">
        <v>50</v>
      </c>
      <c r="B13" s="98" t="s">
        <v>57</v>
      </c>
      <c r="C13" s="98" t="s">
        <v>62</v>
      </c>
      <c r="D13" s="98">
        <v>30000</v>
      </c>
    </row>
    <row r="14" spans="1:4" ht="18" customHeight="1">
      <c r="A14" s="97" t="s">
        <v>50</v>
      </c>
      <c r="B14" s="98" t="s">
        <v>57</v>
      </c>
      <c r="C14" s="98" t="s">
        <v>63</v>
      </c>
      <c r="D14" s="98">
        <v>30000</v>
      </c>
    </row>
    <row r="15" spans="1:4" ht="18" customHeight="1">
      <c r="A15" s="97" t="s">
        <v>48</v>
      </c>
      <c r="B15" s="98" t="s">
        <v>39</v>
      </c>
      <c r="C15" s="98" t="s">
        <v>64</v>
      </c>
      <c r="D15" s="98">
        <v>38000</v>
      </c>
    </row>
    <row r="16" spans="1:4" ht="18" customHeight="1">
      <c r="A16" s="97" t="s">
        <v>48</v>
      </c>
      <c r="B16" s="98" t="s">
        <v>40</v>
      </c>
      <c r="C16" s="98" t="s">
        <v>65</v>
      </c>
      <c r="D16" s="98">
        <v>150000</v>
      </c>
    </row>
    <row r="17" spans="1:4" ht="18" customHeight="1">
      <c r="A17" s="97" t="s">
        <v>48</v>
      </c>
      <c r="B17" s="98" t="s">
        <v>40</v>
      </c>
      <c r="C17" s="98" t="s">
        <v>62</v>
      </c>
      <c r="D17" s="98">
        <v>150000</v>
      </c>
    </row>
    <row r="18" spans="1:4" ht="18" customHeight="1">
      <c r="A18" s="97" t="s">
        <v>50</v>
      </c>
      <c r="B18" s="98" t="s">
        <v>40</v>
      </c>
      <c r="C18" s="98" t="s">
        <v>63</v>
      </c>
      <c r="D18" s="98">
        <v>150000</v>
      </c>
    </row>
    <row r="19" spans="1:4" ht="18" customHeight="1">
      <c r="A19" s="97" t="s">
        <v>50</v>
      </c>
      <c r="B19" s="98" t="s">
        <v>39</v>
      </c>
      <c r="C19" s="98" t="s">
        <v>64</v>
      </c>
      <c r="D19" s="98">
        <v>38000</v>
      </c>
    </row>
    <row r="20" spans="1:4" ht="18" customHeight="1">
      <c r="A20" s="97" t="s">
        <v>48</v>
      </c>
      <c r="B20" s="98" t="s">
        <v>40</v>
      </c>
      <c r="C20" s="98" t="s">
        <v>65</v>
      </c>
      <c r="D20" s="98">
        <v>150000</v>
      </c>
    </row>
    <row r="21" spans="1:4" ht="18" customHeight="1">
      <c r="A21" s="97" t="s">
        <v>48</v>
      </c>
      <c r="B21" s="98" t="s">
        <v>57</v>
      </c>
      <c r="C21" s="98" t="s">
        <v>62</v>
      </c>
      <c r="D21" s="98">
        <v>30000</v>
      </c>
    </row>
    <row r="22" spans="1:4" ht="18" customHeight="1">
      <c r="A22" s="97" t="s">
        <v>48</v>
      </c>
      <c r="B22" s="98" t="s">
        <v>57</v>
      </c>
      <c r="C22" s="98" t="s">
        <v>63</v>
      </c>
      <c r="D22" s="98">
        <v>30000</v>
      </c>
    </row>
    <row r="23" spans="1:4" ht="18" customHeight="1">
      <c r="A23" s="97" t="s">
        <v>50</v>
      </c>
      <c r="B23" s="98" t="s">
        <v>39</v>
      </c>
      <c r="C23" s="98" t="s">
        <v>64</v>
      </c>
      <c r="D23" s="98">
        <v>38000</v>
      </c>
    </row>
    <row r="24" spans="1:4" ht="18" customHeight="1">
      <c r="A24" s="97" t="s">
        <v>50</v>
      </c>
      <c r="B24" s="98" t="s">
        <v>40</v>
      </c>
      <c r="C24" s="98" t="s">
        <v>65</v>
      </c>
      <c r="D24" s="98">
        <v>150000</v>
      </c>
    </row>
    <row r="25" spans="1:4" ht="18" customHeight="1">
      <c r="A25" s="97" t="s">
        <v>48</v>
      </c>
      <c r="B25" s="98" t="s">
        <v>40</v>
      </c>
      <c r="C25" s="98" t="s">
        <v>62</v>
      </c>
      <c r="D25" s="98">
        <v>150000</v>
      </c>
    </row>
    <row r="26" spans="1:4" ht="18" customHeight="1">
      <c r="A26" s="97" t="s">
        <v>48</v>
      </c>
      <c r="B26" s="98" t="s">
        <v>40</v>
      </c>
      <c r="C26" s="98" t="s">
        <v>63</v>
      </c>
      <c r="D26" s="98">
        <v>150000</v>
      </c>
    </row>
    <row r="27" spans="1:4" ht="18" customHeight="1">
      <c r="A27" s="97" t="s">
        <v>48</v>
      </c>
      <c r="B27" s="98" t="s">
        <v>39</v>
      </c>
      <c r="C27" s="98" t="s">
        <v>64</v>
      </c>
      <c r="D27" s="98">
        <v>38000</v>
      </c>
    </row>
    <row r="28" spans="1:4" ht="18" customHeight="1">
      <c r="A28" s="97" t="s">
        <v>50</v>
      </c>
      <c r="B28" s="98" t="s">
        <v>40</v>
      </c>
      <c r="C28" s="98" t="s">
        <v>65</v>
      </c>
      <c r="D28" s="98">
        <v>150000</v>
      </c>
    </row>
    <row r="29" spans="1:4" ht="18" customHeight="1">
      <c r="A29" s="97" t="s">
        <v>50</v>
      </c>
      <c r="B29" s="98" t="s">
        <v>57</v>
      </c>
      <c r="C29" s="98" t="s">
        <v>62</v>
      </c>
      <c r="D29" s="98">
        <v>30000</v>
      </c>
    </row>
    <row r="30" spans="1:4" ht="18" customHeight="1">
      <c r="A30" s="97" t="s">
        <v>48</v>
      </c>
      <c r="B30" s="98" t="s">
        <v>57</v>
      </c>
      <c r="C30" s="98" t="s">
        <v>63</v>
      </c>
      <c r="D30" s="98">
        <v>30000</v>
      </c>
    </row>
    <row r="31" spans="1:4" ht="18" customHeight="1">
      <c r="A31" s="97" t="s">
        <v>48</v>
      </c>
      <c r="B31" s="98" t="s">
        <v>39</v>
      </c>
      <c r="C31" s="98" t="s">
        <v>64</v>
      </c>
      <c r="D31" s="98">
        <v>38000</v>
      </c>
    </row>
    <row r="32" spans="1:4" ht="18" customHeight="1">
      <c r="A32" s="97" t="s">
        <v>48</v>
      </c>
      <c r="B32" s="98" t="s">
        <v>40</v>
      </c>
      <c r="C32" s="98" t="s">
        <v>65</v>
      </c>
      <c r="D32" s="98">
        <v>150000</v>
      </c>
    </row>
    <row r="33" spans="1:4" ht="18" customHeight="1">
      <c r="A33" s="97" t="s">
        <v>50</v>
      </c>
      <c r="B33" s="98" t="s">
        <v>40</v>
      </c>
      <c r="C33" s="98" t="s">
        <v>62</v>
      </c>
      <c r="D33" s="98">
        <v>150000</v>
      </c>
    </row>
    <row r="34" spans="1:4" ht="18" customHeight="1">
      <c r="A34" s="97" t="s">
        <v>50</v>
      </c>
      <c r="B34" s="98" t="s">
        <v>40</v>
      </c>
      <c r="C34" s="98" t="s">
        <v>63</v>
      </c>
      <c r="D34" s="98">
        <v>150000</v>
      </c>
    </row>
    <row r="35" spans="1:4" ht="18" customHeight="1">
      <c r="A35" s="97" t="s">
        <v>48</v>
      </c>
      <c r="B35" s="98" t="s">
        <v>39</v>
      </c>
      <c r="C35" s="98" t="s">
        <v>64</v>
      </c>
      <c r="D35" s="98">
        <v>38000</v>
      </c>
    </row>
    <row r="36" spans="1:4" ht="18" customHeight="1">
      <c r="A36" s="97" t="s">
        <v>48</v>
      </c>
      <c r="B36" s="98" t="s">
        <v>40</v>
      </c>
      <c r="C36" s="98" t="s">
        <v>65</v>
      </c>
      <c r="D36" s="98">
        <v>150000</v>
      </c>
    </row>
    <row r="37" spans="1:4" ht="18" customHeight="1">
      <c r="A37" s="97" t="s">
        <v>48</v>
      </c>
      <c r="B37" s="98" t="s">
        <v>57</v>
      </c>
      <c r="C37" s="98" t="s">
        <v>62</v>
      </c>
      <c r="D37" s="98">
        <v>30000</v>
      </c>
    </row>
    <row r="38" spans="1:4" ht="18" customHeight="1">
      <c r="A38" s="97" t="s">
        <v>50</v>
      </c>
      <c r="B38" s="98" t="s">
        <v>57</v>
      </c>
      <c r="C38" s="98" t="s">
        <v>63</v>
      </c>
      <c r="D38" s="98">
        <v>30000</v>
      </c>
    </row>
    <row r="39" spans="1:4" ht="18" customHeight="1">
      <c r="A39" s="97" t="s">
        <v>50</v>
      </c>
      <c r="B39" s="98" t="s">
        <v>39</v>
      </c>
      <c r="C39" s="98" t="s">
        <v>64</v>
      </c>
      <c r="D39" s="98">
        <v>38000</v>
      </c>
    </row>
    <row r="40" spans="1:4" ht="18" customHeight="1">
      <c r="A40" s="97" t="s">
        <v>48</v>
      </c>
      <c r="B40" s="98" t="s">
        <v>40</v>
      </c>
      <c r="C40" s="98" t="s">
        <v>65</v>
      </c>
      <c r="D40" s="98">
        <v>150000</v>
      </c>
    </row>
    <row r="41" spans="1:4" ht="18" customHeight="1">
      <c r="A41" s="97" t="s">
        <v>48</v>
      </c>
      <c r="B41" s="98" t="s">
        <v>40</v>
      </c>
      <c r="C41" s="98" t="s">
        <v>62</v>
      </c>
      <c r="D41" s="98">
        <v>150000</v>
      </c>
    </row>
    <row r="42" spans="1:4" ht="18" customHeight="1">
      <c r="A42" s="97" t="s">
        <v>48</v>
      </c>
      <c r="B42" s="98" t="s">
        <v>40</v>
      </c>
      <c r="C42" s="98" t="s">
        <v>63</v>
      </c>
      <c r="D42" s="98">
        <v>150000</v>
      </c>
    </row>
    <row r="43" spans="1:4" ht="18" customHeight="1">
      <c r="A43" s="97" t="s">
        <v>50</v>
      </c>
      <c r="B43" s="98" t="s">
        <v>39</v>
      </c>
      <c r="C43" s="98" t="s">
        <v>64</v>
      </c>
      <c r="D43" s="98">
        <v>38000</v>
      </c>
    </row>
    <row r="44" spans="1:4" ht="18" customHeight="1">
      <c r="A44" s="97" t="s">
        <v>50</v>
      </c>
      <c r="B44" s="98" t="s">
        <v>40</v>
      </c>
      <c r="C44" s="98" t="s">
        <v>65</v>
      </c>
      <c r="D44" s="98">
        <v>150000</v>
      </c>
    </row>
    <row r="45" spans="1:4" ht="18" customHeight="1">
      <c r="A45" s="97" t="s">
        <v>48</v>
      </c>
      <c r="B45" s="98" t="s">
        <v>57</v>
      </c>
      <c r="C45" s="98" t="s">
        <v>62</v>
      </c>
      <c r="D45" s="98">
        <v>30000</v>
      </c>
    </row>
    <row r="46" spans="1:4" ht="18" customHeight="1">
      <c r="A46" s="97" t="s">
        <v>48</v>
      </c>
      <c r="B46" s="98" t="s">
        <v>57</v>
      </c>
      <c r="C46" s="98" t="s">
        <v>63</v>
      </c>
      <c r="D46" s="98">
        <v>30000</v>
      </c>
    </row>
    <row r="47" spans="1:4" ht="18" customHeight="1">
      <c r="A47" s="97" t="s">
        <v>48</v>
      </c>
      <c r="B47" s="98" t="s">
        <v>39</v>
      </c>
      <c r="C47" s="98" t="s">
        <v>64</v>
      </c>
      <c r="D47" s="98">
        <v>38000</v>
      </c>
    </row>
    <row r="48" spans="1:4" ht="18" customHeight="1">
      <c r="A48" s="97" t="s">
        <v>50</v>
      </c>
      <c r="B48" s="98" t="s">
        <v>40</v>
      </c>
      <c r="C48" s="98" t="s">
        <v>65</v>
      </c>
      <c r="D48" s="98">
        <v>150000</v>
      </c>
    </row>
    <row r="49" spans="1:4" ht="18" customHeight="1">
      <c r="A49" s="97" t="s">
        <v>50</v>
      </c>
      <c r="B49" s="98" t="s">
        <v>40</v>
      </c>
      <c r="C49" s="98" t="s">
        <v>62</v>
      </c>
      <c r="D49" s="98">
        <v>150000</v>
      </c>
    </row>
    <row r="50" spans="1:4" ht="18" customHeight="1">
      <c r="A50" s="97" t="s">
        <v>48</v>
      </c>
      <c r="B50" s="98" t="s">
        <v>40</v>
      </c>
      <c r="C50" s="98" t="s">
        <v>63</v>
      </c>
      <c r="D50" s="98">
        <v>150000</v>
      </c>
    </row>
    <row r="51" spans="1:4" ht="18" customHeight="1">
      <c r="A51" s="97" t="s">
        <v>48</v>
      </c>
      <c r="B51" s="98" t="s">
        <v>39</v>
      </c>
      <c r="C51" s="98" t="s">
        <v>64</v>
      </c>
      <c r="D51" s="98">
        <v>38000</v>
      </c>
    </row>
    <row r="52" spans="1:4" ht="18" customHeight="1">
      <c r="A52" s="97" t="s">
        <v>48</v>
      </c>
      <c r="B52" s="98" t="s">
        <v>40</v>
      </c>
      <c r="C52" s="98" t="s">
        <v>65</v>
      </c>
      <c r="D52" s="98">
        <v>150000</v>
      </c>
    </row>
    <row r="53" spans="1:4" ht="18" customHeight="1">
      <c r="A53" s="97" t="s">
        <v>50</v>
      </c>
      <c r="B53" s="98" t="s">
        <v>57</v>
      </c>
      <c r="C53" s="98" t="s">
        <v>62</v>
      </c>
      <c r="D53" s="98">
        <v>30000</v>
      </c>
    </row>
    <row r="54" spans="1:4" ht="18" customHeight="1">
      <c r="A54" s="97" t="s">
        <v>50</v>
      </c>
      <c r="B54" s="98" t="s">
        <v>57</v>
      </c>
      <c r="C54" s="98" t="s">
        <v>63</v>
      </c>
      <c r="D54" s="98">
        <v>30000</v>
      </c>
    </row>
    <row r="55" spans="1:4" ht="18" customHeight="1">
      <c r="A55" s="97" t="s">
        <v>48</v>
      </c>
      <c r="B55" s="98" t="s">
        <v>39</v>
      </c>
      <c r="C55" s="98" t="s">
        <v>64</v>
      </c>
      <c r="D55" s="98">
        <v>38000</v>
      </c>
    </row>
    <row r="56" spans="1:4" ht="18" customHeight="1">
      <c r="A56" s="97" t="s">
        <v>48</v>
      </c>
      <c r="B56" s="98" t="s">
        <v>40</v>
      </c>
      <c r="C56" s="98" t="s">
        <v>65</v>
      </c>
      <c r="D56" s="98">
        <v>150000</v>
      </c>
    </row>
    <row r="57" spans="1:4" ht="18" customHeight="1">
      <c r="A57" s="97" t="s">
        <v>48</v>
      </c>
      <c r="B57" s="98" t="s">
        <v>40</v>
      </c>
      <c r="C57" s="98" t="s">
        <v>62</v>
      </c>
      <c r="D57" s="98">
        <v>150000</v>
      </c>
    </row>
    <row r="58" spans="1:4" ht="18" customHeight="1">
      <c r="A58" s="97" t="s">
        <v>50</v>
      </c>
      <c r="B58" s="98" t="s">
        <v>40</v>
      </c>
      <c r="C58" s="98" t="s">
        <v>63</v>
      </c>
      <c r="D58" s="98">
        <v>150000</v>
      </c>
    </row>
    <row r="59" spans="1:4" ht="18" customHeight="1">
      <c r="A59" s="97" t="s">
        <v>50</v>
      </c>
      <c r="B59" s="98" t="s">
        <v>39</v>
      </c>
      <c r="C59" s="98" t="s">
        <v>64</v>
      </c>
      <c r="D59" s="98">
        <v>38000</v>
      </c>
    </row>
    <row r="60" spans="1:4" ht="18" customHeight="1">
      <c r="A60" s="97" t="s">
        <v>48</v>
      </c>
      <c r="B60" s="98" t="s">
        <v>40</v>
      </c>
      <c r="C60" s="98" t="s">
        <v>65</v>
      </c>
      <c r="D60" s="98">
        <v>150000</v>
      </c>
    </row>
    <row r="61" spans="1:4" ht="18" customHeight="1">
      <c r="A61" s="97" t="s">
        <v>48</v>
      </c>
      <c r="B61" s="98" t="s">
        <v>57</v>
      </c>
      <c r="C61" s="98" t="s">
        <v>62</v>
      </c>
      <c r="D61" s="98">
        <v>30000</v>
      </c>
    </row>
    <row r="62" spans="1:4" ht="18" customHeight="1">
      <c r="A62" s="97" t="s">
        <v>48</v>
      </c>
      <c r="B62" s="98" t="s">
        <v>57</v>
      </c>
      <c r="C62" s="98" t="s">
        <v>63</v>
      </c>
      <c r="D62" s="98">
        <v>30000</v>
      </c>
    </row>
    <row r="63" spans="1:4" ht="18" customHeight="1">
      <c r="A63" s="97" t="s">
        <v>50</v>
      </c>
      <c r="B63" s="98" t="s">
        <v>39</v>
      </c>
      <c r="C63" s="98" t="s">
        <v>64</v>
      </c>
      <c r="D63" s="98">
        <v>38000</v>
      </c>
    </row>
    <row r="64" spans="1:4" ht="18" customHeight="1">
      <c r="A64" s="97" t="s">
        <v>50</v>
      </c>
      <c r="B64" s="98" t="s">
        <v>40</v>
      </c>
      <c r="C64" s="98" t="s">
        <v>65</v>
      </c>
      <c r="D64" s="98">
        <v>150000</v>
      </c>
    </row>
    <row r="65" spans="1:4" ht="18" customHeight="1">
      <c r="A65" s="97" t="s">
        <v>48</v>
      </c>
      <c r="B65" s="98" t="s">
        <v>40</v>
      </c>
      <c r="C65" s="98" t="s">
        <v>62</v>
      </c>
      <c r="D65" s="98">
        <v>150000</v>
      </c>
    </row>
    <row r="66" spans="1:4" ht="18" customHeight="1">
      <c r="A66" s="97" t="s">
        <v>48</v>
      </c>
      <c r="B66" s="98" t="s">
        <v>40</v>
      </c>
      <c r="C66" s="98" t="s">
        <v>63</v>
      </c>
      <c r="D66" s="98">
        <v>150000</v>
      </c>
    </row>
    <row r="67" spans="1:4" ht="18" customHeight="1">
      <c r="A67" s="97" t="s">
        <v>48</v>
      </c>
      <c r="B67" s="98" t="s">
        <v>39</v>
      </c>
      <c r="C67" s="98" t="s">
        <v>64</v>
      </c>
      <c r="D67" s="98">
        <v>38000</v>
      </c>
    </row>
    <row r="68" spans="1:4" ht="18" customHeight="1">
      <c r="A68" s="97" t="s">
        <v>50</v>
      </c>
      <c r="B68" s="98" t="s">
        <v>40</v>
      </c>
      <c r="C68" s="98" t="s">
        <v>65</v>
      </c>
      <c r="D68" s="98">
        <v>150000</v>
      </c>
    </row>
    <row r="69" spans="1:4" ht="18" customHeight="1">
      <c r="A69" s="97" t="s">
        <v>50</v>
      </c>
      <c r="B69" s="98" t="s">
        <v>57</v>
      </c>
      <c r="C69" s="98" t="s">
        <v>62</v>
      </c>
      <c r="D69" s="98">
        <v>30000</v>
      </c>
    </row>
    <row r="70" spans="1:4" ht="18" customHeight="1">
      <c r="A70" s="97" t="s">
        <v>48</v>
      </c>
      <c r="B70" s="98" t="s">
        <v>57</v>
      </c>
      <c r="C70" s="98" t="s">
        <v>63</v>
      </c>
      <c r="D70" s="98">
        <v>30000</v>
      </c>
    </row>
    <row r="71" spans="1:4" ht="18" customHeight="1">
      <c r="A71" s="97" t="s">
        <v>48</v>
      </c>
      <c r="B71" s="98" t="s">
        <v>39</v>
      </c>
      <c r="C71" s="98" t="s">
        <v>64</v>
      </c>
      <c r="D71" s="98">
        <v>38000</v>
      </c>
    </row>
    <row r="72" spans="1:4" ht="18" customHeight="1">
      <c r="A72" s="97" t="s">
        <v>48</v>
      </c>
      <c r="B72" s="98" t="s">
        <v>40</v>
      </c>
      <c r="C72" s="98" t="s">
        <v>65</v>
      </c>
      <c r="D72" s="98">
        <v>150000</v>
      </c>
    </row>
    <row r="73" spans="1:4" ht="18" customHeight="1">
      <c r="A73" s="97" t="s">
        <v>50</v>
      </c>
      <c r="B73" s="98" t="s">
        <v>40</v>
      </c>
      <c r="C73" s="98" t="s">
        <v>62</v>
      </c>
      <c r="D73" s="98">
        <v>150000</v>
      </c>
    </row>
    <row r="74" spans="1:4" ht="18" customHeight="1">
      <c r="A74" s="97" t="s">
        <v>50</v>
      </c>
      <c r="B74" s="98" t="s">
        <v>40</v>
      </c>
      <c r="C74" s="98" t="s">
        <v>63</v>
      </c>
      <c r="D74" s="98">
        <v>150000</v>
      </c>
    </row>
    <row r="75" spans="1:4" ht="18" customHeight="1">
      <c r="A75" s="97" t="s">
        <v>48</v>
      </c>
      <c r="B75" s="98" t="s">
        <v>39</v>
      </c>
      <c r="C75" s="98" t="s">
        <v>64</v>
      </c>
      <c r="D75" s="98">
        <v>38000</v>
      </c>
    </row>
    <row r="76" spans="1:4" ht="18" customHeight="1">
      <c r="A76" s="97" t="s">
        <v>48</v>
      </c>
      <c r="B76" s="98" t="s">
        <v>40</v>
      </c>
      <c r="C76" s="98" t="s">
        <v>65</v>
      </c>
      <c r="D76" s="98">
        <v>150000</v>
      </c>
    </row>
    <row r="77" spans="1:4" ht="18" customHeight="1">
      <c r="A77" s="97" t="s">
        <v>48</v>
      </c>
      <c r="B77" s="98" t="s">
        <v>57</v>
      </c>
      <c r="C77" s="98" t="s">
        <v>62</v>
      </c>
      <c r="D77" s="98">
        <v>30000</v>
      </c>
    </row>
    <row r="78" spans="1:4" ht="18" customHeight="1">
      <c r="A78" s="97" t="s">
        <v>50</v>
      </c>
      <c r="B78" s="98" t="s">
        <v>57</v>
      </c>
      <c r="C78" s="98" t="s">
        <v>63</v>
      </c>
      <c r="D78" s="98">
        <v>30000</v>
      </c>
    </row>
    <row r="79" spans="1:4" ht="18" customHeight="1">
      <c r="A79" s="97" t="s">
        <v>50</v>
      </c>
      <c r="B79" s="98" t="s">
        <v>39</v>
      </c>
      <c r="C79" s="98" t="s">
        <v>64</v>
      </c>
      <c r="D79" s="98">
        <v>38000</v>
      </c>
    </row>
    <row r="80" spans="1:4" ht="18" customHeight="1">
      <c r="A80" s="97" t="s">
        <v>48</v>
      </c>
      <c r="B80" s="98" t="s">
        <v>40</v>
      </c>
      <c r="C80" s="98" t="s">
        <v>65</v>
      </c>
      <c r="D80" s="98">
        <v>150000</v>
      </c>
    </row>
    <row r="81" spans="1:4" ht="18" customHeight="1">
      <c r="A81" s="97" t="s">
        <v>48</v>
      </c>
      <c r="B81" s="98" t="s">
        <v>40</v>
      </c>
      <c r="C81" s="98" t="s">
        <v>62</v>
      </c>
      <c r="D81" s="98">
        <v>150000</v>
      </c>
    </row>
    <row r="82" spans="1:4" ht="18" customHeight="1">
      <c r="A82" s="97" t="s">
        <v>48</v>
      </c>
      <c r="B82" s="98" t="s">
        <v>40</v>
      </c>
      <c r="C82" s="98" t="s">
        <v>63</v>
      </c>
      <c r="D82" s="98">
        <v>150000</v>
      </c>
    </row>
    <row r="83" spans="1:4" ht="18" customHeight="1">
      <c r="A83" s="97" t="s">
        <v>50</v>
      </c>
      <c r="B83" s="98" t="s">
        <v>39</v>
      </c>
      <c r="C83" s="98" t="s">
        <v>64</v>
      </c>
      <c r="D83" s="98">
        <v>38000</v>
      </c>
    </row>
    <row r="84" spans="1:4" ht="18" customHeight="1">
      <c r="A84" s="97" t="s">
        <v>50</v>
      </c>
      <c r="B84" s="98" t="s">
        <v>40</v>
      </c>
      <c r="C84" s="98" t="s">
        <v>65</v>
      </c>
      <c r="D84" s="98">
        <v>150000</v>
      </c>
    </row>
    <row r="85" spans="1:4" ht="18" customHeight="1">
      <c r="A85" s="97" t="s">
        <v>48</v>
      </c>
      <c r="B85" s="98" t="s">
        <v>57</v>
      </c>
      <c r="C85" s="98" t="s">
        <v>62</v>
      </c>
      <c r="D85" s="98">
        <v>30000</v>
      </c>
    </row>
    <row r="86" spans="1:4" ht="18" customHeight="1">
      <c r="A86" s="97" t="s">
        <v>48</v>
      </c>
      <c r="B86" s="98" t="s">
        <v>57</v>
      </c>
      <c r="C86" s="98" t="s">
        <v>63</v>
      </c>
      <c r="D86" s="98">
        <v>30000</v>
      </c>
    </row>
    <row r="87" spans="1:4" ht="18" customHeight="1">
      <c r="A87" s="97" t="s">
        <v>48</v>
      </c>
      <c r="B87" s="98" t="s">
        <v>39</v>
      </c>
      <c r="C87" s="98" t="s">
        <v>64</v>
      </c>
      <c r="D87" s="98">
        <v>38000</v>
      </c>
    </row>
    <row r="88" spans="1:4" ht="18" customHeight="1">
      <c r="A88" s="97" t="s">
        <v>50</v>
      </c>
      <c r="B88" s="98" t="s">
        <v>40</v>
      </c>
      <c r="C88" s="98" t="s">
        <v>65</v>
      </c>
      <c r="D88" s="98">
        <v>150000</v>
      </c>
    </row>
    <row r="89" spans="1:4" ht="18" customHeight="1">
      <c r="A89" s="97" t="s">
        <v>50</v>
      </c>
      <c r="B89" s="98" t="s">
        <v>40</v>
      </c>
      <c r="C89" s="98" t="s">
        <v>62</v>
      </c>
      <c r="D89" s="98">
        <v>150000</v>
      </c>
    </row>
    <row r="90" spans="1:4" ht="18" customHeight="1">
      <c r="A90" s="97" t="s">
        <v>48</v>
      </c>
      <c r="B90" s="98" t="s">
        <v>40</v>
      </c>
      <c r="C90" s="98" t="s">
        <v>63</v>
      </c>
      <c r="D90" s="98">
        <v>150000</v>
      </c>
    </row>
    <row r="91" spans="1:4" ht="18" customHeight="1">
      <c r="A91" s="97" t="s">
        <v>48</v>
      </c>
      <c r="B91" s="98" t="s">
        <v>39</v>
      </c>
      <c r="C91" s="98" t="s">
        <v>64</v>
      </c>
      <c r="D91" s="98">
        <v>38000</v>
      </c>
    </row>
    <row r="92" spans="1:4" ht="18" customHeight="1">
      <c r="A92" s="97" t="s">
        <v>48</v>
      </c>
      <c r="B92" s="98" t="s">
        <v>40</v>
      </c>
      <c r="C92" s="98" t="s">
        <v>65</v>
      </c>
      <c r="D92" s="98">
        <v>150000</v>
      </c>
    </row>
    <row r="93" spans="1:4" ht="18" customHeight="1">
      <c r="A93" s="97" t="s">
        <v>50</v>
      </c>
      <c r="B93" s="98" t="s">
        <v>57</v>
      </c>
      <c r="C93" s="98" t="s">
        <v>62</v>
      </c>
      <c r="D93" s="98">
        <v>30000</v>
      </c>
    </row>
    <row r="94" spans="1:4" ht="18" customHeight="1">
      <c r="A94" s="97" t="s">
        <v>50</v>
      </c>
      <c r="B94" s="98" t="s">
        <v>57</v>
      </c>
      <c r="C94" s="98" t="s">
        <v>63</v>
      </c>
      <c r="D94" s="98">
        <v>30000</v>
      </c>
    </row>
    <row r="95" spans="1:4" ht="18" customHeight="1">
      <c r="A95" s="97" t="s">
        <v>48</v>
      </c>
      <c r="B95" s="98" t="s">
        <v>39</v>
      </c>
      <c r="C95" s="98" t="s">
        <v>64</v>
      </c>
      <c r="D95" s="98">
        <v>38000</v>
      </c>
    </row>
    <row r="96" spans="1:4" ht="18" customHeight="1">
      <c r="A96" s="97" t="s">
        <v>48</v>
      </c>
      <c r="B96" s="98" t="s">
        <v>40</v>
      </c>
      <c r="C96" s="98" t="s">
        <v>65</v>
      </c>
      <c r="D96" s="98">
        <v>150000</v>
      </c>
    </row>
    <row r="97" spans="1:4" ht="18" customHeight="1">
      <c r="A97" s="97" t="s">
        <v>48</v>
      </c>
      <c r="B97" s="98" t="s">
        <v>40</v>
      </c>
      <c r="C97" s="98" t="s">
        <v>62</v>
      </c>
      <c r="D97" s="98">
        <v>150000</v>
      </c>
    </row>
    <row r="98" spans="1:4" ht="18" customHeight="1">
      <c r="A98" s="97" t="s">
        <v>50</v>
      </c>
      <c r="B98" s="98" t="s">
        <v>40</v>
      </c>
      <c r="C98" s="98" t="s">
        <v>63</v>
      </c>
      <c r="D98" s="98">
        <v>150000</v>
      </c>
    </row>
    <row r="99" spans="1:4" ht="18" customHeight="1">
      <c r="A99" s="97" t="s">
        <v>50</v>
      </c>
      <c r="B99" s="98" t="s">
        <v>39</v>
      </c>
      <c r="C99" s="98" t="s">
        <v>64</v>
      </c>
      <c r="D99" s="98">
        <v>38000</v>
      </c>
    </row>
    <row r="100" spans="1:4" ht="18" customHeight="1">
      <c r="A100" s="97" t="s">
        <v>48</v>
      </c>
      <c r="B100" s="98" t="s">
        <v>40</v>
      </c>
      <c r="C100" s="98" t="s">
        <v>65</v>
      </c>
      <c r="D100" s="98">
        <v>150000</v>
      </c>
    </row>
    <row r="101" spans="1:4" ht="18" customHeight="1">
      <c r="A101" s="97" t="s">
        <v>48</v>
      </c>
      <c r="B101" s="98" t="s">
        <v>57</v>
      </c>
      <c r="C101" s="98" t="s">
        <v>62</v>
      </c>
      <c r="D101" s="98">
        <v>30000</v>
      </c>
    </row>
    <row r="102" spans="1:4" ht="18" customHeight="1">
      <c r="A102" s="97" t="s">
        <v>48</v>
      </c>
      <c r="B102" s="98" t="s">
        <v>57</v>
      </c>
      <c r="C102" s="98" t="s">
        <v>63</v>
      </c>
      <c r="D102" s="98">
        <v>30000</v>
      </c>
    </row>
    <row r="103" spans="1:4" ht="18" customHeight="1">
      <c r="A103" s="97" t="s">
        <v>50</v>
      </c>
      <c r="B103" s="98" t="s">
        <v>39</v>
      </c>
      <c r="C103" s="98" t="s">
        <v>64</v>
      </c>
      <c r="D103" s="98">
        <v>38000</v>
      </c>
    </row>
    <row r="104" spans="1:4" ht="18" customHeight="1">
      <c r="A104" s="97" t="s">
        <v>50</v>
      </c>
      <c r="B104" s="98" t="s">
        <v>40</v>
      </c>
      <c r="C104" s="98" t="s">
        <v>65</v>
      </c>
      <c r="D104" s="98">
        <v>150000</v>
      </c>
    </row>
    <row r="105" spans="1:4" ht="18" customHeight="1">
      <c r="A105" s="97" t="s">
        <v>48</v>
      </c>
      <c r="B105" s="98" t="s">
        <v>40</v>
      </c>
      <c r="C105" s="98" t="s">
        <v>62</v>
      </c>
      <c r="D105" s="98">
        <v>150000</v>
      </c>
    </row>
    <row r="106" spans="1:4" ht="18" customHeight="1">
      <c r="A106" s="97" t="s">
        <v>48</v>
      </c>
      <c r="B106" s="98" t="s">
        <v>40</v>
      </c>
      <c r="C106" s="98" t="s">
        <v>63</v>
      </c>
      <c r="D106" s="98">
        <v>150000</v>
      </c>
    </row>
    <row r="107" spans="1:4" ht="18" customHeight="1">
      <c r="A107" s="97" t="s">
        <v>48</v>
      </c>
      <c r="B107" s="98" t="s">
        <v>39</v>
      </c>
      <c r="C107" s="98" t="s">
        <v>64</v>
      </c>
      <c r="D107" s="98">
        <v>38000</v>
      </c>
    </row>
    <row r="108" spans="1:4" ht="18" customHeight="1">
      <c r="A108" s="97" t="s">
        <v>50</v>
      </c>
      <c r="B108" s="98" t="s">
        <v>40</v>
      </c>
      <c r="C108" s="98" t="s">
        <v>65</v>
      </c>
      <c r="D108" s="98">
        <v>150000</v>
      </c>
    </row>
    <row r="109" spans="1:4" ht="18" customHeight="1">
      <c r="A109" s="97" t="s">
        <v>50</v>
      </c>
      <c r="B109" s="98" t="s">
        <v>57</v>
      </c>
      <c r="C109" s="98" t="s">
        <v>62</v>
      </c>
      <c r="D109" s="98">
        <v>30000</v>
      </c>
    </row>
    <row r="110" spans="1:4" ht="18" customHeight="1">
      <c r="A110" s="97" t="s">
        <v>48</v>
      </c>
      <c r="B110" s="98" t="s">
        <v>57</v>
      </c>
      <c r="C110" s="98" t="s">
        <v>63</v>
      </c>
      <c r="D110" s="98">
        <v>30000</v>
      </c>
    </row>
    <row r="111" spans="1:4" ht="18" customHeight="1">
      <c r="A111" s="97" t="s">
        <v>48</v>
      </c>
      <c r="B111" s="98" t="s">
        <v>39</v>
      </c>
      <c r="C111" s="98" t="s">
        <v>64</v>
      </c>
      <c r="D111" s="98">
        <v>38000</v>
      </c>
    </row>
    <row r="112" spans="1:4" ht="18" customHeight="1">
      <c r="A112" s="97" t="s">
        <v>48</v>
      </c>
      <c r="B112" s="98" t="s">
        <v>40</v>
      </c>
      <c r="C112" s="98" t="s">
        <v>65</v>
      </c>
      <c r="D112" s="98">
        <v>150000</v>
      </c>
    </row>
    <row r="113" spans="1:4" ht="18" customHeight="1">
      <c r="A113" s="97" t="s">
        <v>50</v>
      </c>
      <c r="B113" s="98" t="s">
        <v>40</v>
      </c>
      <c r="C113" s="98" t="s">
        <v>62</v>
      </c>
      <c r="D113" s="98">
        <v>150000</v>
      </c>
    </row>
    <row r="114" spans="1:4" ht="18" customHeight="1">
      <c r="A114" s="97" t="s">
        <v>50</v>
      </c>
      <c r="B114" s="98" t="s">
        <v>40</v>
      </c>
      <c r="C114" s="98" t="s">
        <v>63</v>
      </c>
      <c r="D114" s="98">
        <v>150000</v>
      </c>
    </row>
    <row r="115" spans="1:4" ht="18" customHeight="1">
      <c r="A115" s="97" t="s">
        <v>48</v>
      </c>
      <c r="B115" s="98" t="s">
        <v>39</v>
      </c>
      <c r="C115" s="98" t="s">
        <v>64</v>
      </c>
      <c r="D115" s="98">
        <v>38000</v>
      </c>
    </row>
    <row r="116" spans="1:4" ht="18" customHeight="1">
      <c r="A116" s="97" t="s">
        <v>48</v>
      </c>
      <c r="B116" s="98" t="s">
        <v>40</v>
      </c>
      <c r="C116" s="98" t="s">
        <v>65</v>
      </c>
      <c r="D116" s="98">
        <v>150000</v>
      </c>
    </row>
    <row r="117" spans="1:4" ht="18" customHeight="1">
      <c r="A117" s="97" t="s">
        <v>48</v>
      </c>
      <c r="B117" s="98" t="s">
        <v>57</v>
      </c>
      <c r="C117" s="98" t="s">
        <v>62</v>
      </c>
      <c r="D117" s="98">
        <v>30000</v>
      </c>
    </row>
    <row r="118" spans="1:4" ht="18" customHeight="1">
      <c r="A118" s="97" t="s">
        <v>50</v>
      </c>
      <c r="B118" s="98" t="s">
        <v>57</v>
      </c>
      <c r="C118" s="98" t="s">
        <v>63</v>
      </c>
      <c r="D118" s="98">
        <v>30000</v>
      </c>
    </row>
    <row r="119" spans="1:4" ht="18" customHeight="1">
      <c r="A119" s="97" t="s">
        <v>50</v>
      </c>
      <c r="B119" s="98" t="s">
        <v>39</v>
      </c>
      <c r="C119" s="98" t="s">
        <v>64</v>
      </c>
      <c r="D119" s="98">
        <v>38000</v>
      </c>
    </row>
    <row r="120" spans="1:4" ht="18" customHeight="1">
      <c r="A120" s="97" t="s">
        <v>48</v>
      </c>
      <c r="B120" s="98" t="s">
        <v>40</v>
      </c>
      <c r="C120" s="98" t="s">
        <v>65</v>
      </c>
      <c r="D120" s="98">
        <v>150000</v>
      </c>
    </row>
    <row r="121" spans="1:4" ht="18" customHeight="1">
      <c r="A121" s="97" t="s">
        <v>48</v>
      </c>
      <c r="B121" s="98" t="s">
        <v>40</v>
      </c>
      <c r="C121" s="98" t="s">
        <v>62</v>
      </c>
      <c r="D121" s="98">
        <v>150000</v>
      </c>
    </row>
  </sheetData>
  <phoneticPr fontId="2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E118C-4FBB-424F-82ED-B8F8A0CB5637}">
  <sheetPr>
    <tabColor rgb="FFFF99CC"/>
  </sheetPr>
  <dimension ref="A1:E17"/>
  <sheetViews>
    <sheetView showGridLines="0" zoomScaleNormal="100" workbookViewId="0">
      <selection activeCell="I12" sqref="I12"/>
    </sheetView>
  </sheetViews>
  <sheetFormatPr defaultColWidth="9" defaultRowHeight="18"/>
  <cols>
    <col min="1" max="1" width="12.5" style="1" bestFit="1" customWidth="1"/>
    <col min="2" max="2" width="10.75" style="1" bestFit="1" customWidth="1"/>
    <col min="3" max="3" width="9.58203125" style="1" bestFit="1" customWidth="1"/>
    <col min="4" max="4" width="8.5" style="1" bestFit="1" customWidth="1"/>
    <col min="5" max="5" width="10.75" style="1" bestFit="1" customWidth="1"/>
    <col min="6" max="16384" width="9" style="1"/>
  </cols>
  <sheetData>
    <row r="1" spans="1:5" ht="20">
      <c r="A1" s="343" t="s">
        <v>262</v>
      </c>
    </row>
    <row r="3" spans="1:5">
      <c r="A3" s="1" t="s">
        <v>66</v>
      </c>
      <c r="B3" s="1" t="s">
        <v>67</v>
      </c>
    </row>
    <row r="4" spans="1:5">
      <c r="A4" s="1" t="s">
        <v>68</v>
      </c>
      <c r="B4" s="1" t="s">
        <v>39</v>
      </c>
      <c r="C4" s="1" t="s">
        <v>40</v>
      </c>
      <c r="D4" s="1" t="s">
        <v>57</v>
      </c>
      <c r="E4" s="1" t="s">
        <v>69</v>
      </c>
    </row>
    <row r="5" spans="1:5">
      <c r="A5" s="99" t="s">
        <v>64</v>
      </c>
      <c r="B5" s="1">
        <v>1140000</v>
      </c>
      <c r="E5" s="1">
        <v>1140000</v>
      </c>
    </row>
    <row r="6" spans="1:5">
      <c r="A6" s="100" t="s">
        <v>51</v>
      </c>
      <c r="B6" s="1">
        <v>456000</v>
      </c>
      <c r="E6" s="1">
        <v>456000</v>
      </c>
    </row>
    <row r="7" spans="1:5">
      <c r="A7" s="100" t="s">
        <v>53</v>
      </c>
      <c r="B7" s="1">
        <v>684000</v>
      </c>
      <c r="E7" s="1">
        <v>684000</v>
      </c>
    </row>
    <row r="8" spans="1:5">
      <c r="A8" s="99" t="s">
        <v>63</v>
      </c>
      <c r="C8" s="1">
        <v>2250000</v>
      </c>
      <c r="D8" s="1">
        <v>450000</v>
      </c>
      <c r="E8" s="1">
        <v>2700000</v>
      </c>
    </row>
    <row r="9" spans="1:5">
      <c r="A9" s="100" t="s">
        <v>51</v>
      </c>
      <c r="C9" s="1">
        <v>900000</v>
      </c>
      <c r="D9" s="1">
        <v>180000</v>
      </c>
      <c r="E9" s="1">
        <v>1080000</v>
      </c>
    </row>
    <row r="10" spans="1:5">
      <c r="A10" s="100" t="s">
        <v>53</v>
      </c>
      <c r="C10" s="1">
        <v>1350000</v>
      </c>
      <c r="D10" s="1">
        <v>270000</v>
      </c>
      <c r="E10" s="1">
        <v>1620000</v>
      </c>
    </row>
    <row r="11" spans="1:5">
      <c r="A11" s="99" t="s">
        <v>62</v>
      </c>
      <c r="C11" s="1">
        <v>2250000</v>
      </c>
      <c r="D11" s="1">
        <v>450000</v>
      </c>
      <c r="E11" s="1">
        <v>2700000</v>
      </c>
    </row>
    <row r="12" spans="1:5">
      <c r="A12" s="100" t="s">
        <v>51</v>
      </c>
      <c r="C12" s="1">
        <v>900000</v>
      </c>
      <c r="D12" s="1">
        <v>180000</v>
      </c>
      <c r="E12" s="1">
        <v>1080000</v>
      </c>
    </row>
    <row r="13" spans="1:5">
      <c r="A13" s="100" t="s">
        <v>53</v>
      </c>
      <c r="C13" s="1">
        <v>1350000</v>
      </c>
      <c r="D13" s="1">
        <v>270000</v>
      </c>
      <c r="E13" s="1">
        <v>1620000</v>
      </c>
    </row>
    <row r="14" spans="1:5">
      <c r="A14" s="99" t="s">
        <v>65</v>
      </c>
      <c r="C14" s="1">
        <v>4500000</v>
      </c>
      <c r="E14" s="1">
        <v>4500000</v>
      </c>
    </row>
    <row r="15" spans="1:5">
      <c r="A15" s="100" t="s">
        <v>51</v>
      </c>
      <c r="C15" s="1">
        <v>1800000</v>
      </c>
      <c r="E15" s="1">
        <v>1800000</v>
      </c>
    </row>
    <row r="16" spans="1:5">
      <c r="A16" s="100" t="s">
        <v>53</v>
      </c>
      <c r="C16" s="1">
        <v>2700000</v>
      </c>
      <c r="E16" s="1">
        <v>2700000</v>
      </c>
    </row>
    <row r="17" spans="1:5">
      <c r="A17" s="99" t="s">
        <v>69</v>
      </c>
      <c r="B17" s="1">
        <v>1140000</v>
      </c>
      <c r="C17" s="1">
        <v>9000000</v>
      </c>
      <c r="D17" s="1">
        <v>900000</v>
      </c>
      <c r="E17" s="1">
        <v>11040000</v>
      </c>
    </row>
  </sheetData>
  <phoneticPr fontId="2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A76CE-9F55-48A6-BAAD-F13404AE3E48}">
  <sheetPr>
    <tabColor rgb="FFFF99CC"/>
  </sheetPr>
  <dimension ref="A1:E7"/>
  <sheetViews>
    <sheetView showGridLines="0" zoomScaleNormal="100" workbookViewId="0">
      <selection activeCell="A8" sqref="A8"/>
    </sheetView>
  </sheetViews>
  <sheetFormatPr defaultColWidth="9" defaultRowHeight="18"/>
  <cols>
    <col min="1" max="1" width="12.5" style="1" bestFit="1" customWidth="1"/>
    <col min="2" max="2" width="10.75" style="1" bestFit="1" customWidth="1"/>
    <col min="3" max="3" width="9.58203125" style="1" bestFit="1" customWidth="1"/>
    <col min="4" max="4" width="8.5" style="1" bestFit="1" customWidth="1"/>
    <col min="5" max="5" width="10.75" style="1" bestFit="1" customWidth="1"/>
    <col min="6" max="16384" width="9" style="1"/>
  </cols>
  <sheetData>
    <row r="1" spans="1:5">
      <c r="A1" s="1" t="s">
        <v>66</v>
      </c>
      <c r="B1" s="1" t="s">
        <v>67</v>
      </c>
    </row>
    <row r="2" spans="1:5">
      <c r="A2" s="1" t="s">
        <v>68</v>
      </c>
      <c r="B2" s="1" t="s">
        <v>39</v>
      </c>
      <c r="C2" s="1" t="s">
        <v>40</v>
      </c>
      <c r="D2" s="1" t="s">
        <v>57</v>
      </c>
      <c r="E2" s="1" t="s">
        <v>69</v>
      </c>
    </row>
    <row r="3" spans="1:5">
      <c r="A3" s="99" t="s">
        <v>64</v>
      </c>
      <c r="B3" s="1">
        <v>1140000</v>
      </c>
      <c r="E3" s="1">
        <v>1140000</v>
      </c>
    </row>
    <row r="4" spans="1:5">
      <c r="A4" s="99" t="s">
        <v>63</v>
      </c>
      <c r="C4" s="1">
        <v>2250000</v>
      </c>
      <c r="D4" s="1">
        <v>450000</v>
      </c>
      <c r="E4" s="1">
        <v>2700000</v>
      </c>
    </row>
    <row r="5" spans="1:5">
      <c r="A5" s="99" t="s">
        <v>62</v>
      </c>
      <c r="C5" s="1">
        <v>2250000</v>
      </c>
      <c r="D5" s="1">
        <v>450000</v>
      </c>
      <c r="E5" s="1">
        <v>2700000</v>
      </c>
    </row>
    <row r="6" spans="1:5">
      <c r="A6" s="99" t="s">
        <v>65</v>
      </c>
      <c r="C6" s="1">
        <v>4500000</v>
      </c>
      <c r="E6" s="1">
        <v>4500000</v>
      </c>
    </row>
    <row r="7" spans="1:5">
      <c r="A7" s="99" t="s">
        <v>69</v>
      </c>
      <c r="B7" s="1">
        <v>1140000</v>
      </c>
      <c r="C7" s="1">
        <v>9000000</v>
      </c>
      <c r="D7" s="1">
        <v>900000</v>
      </c>
      <c r="E7" s="1">
        <v>11040000</v>
      </c>
    </row>
  </sheetData>
  <phoneticPr fontId="2"/>
  <pageMargins left="0.7" right="0.7" top="0.75" bottom="0.75" header="0.3" footer="0.3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4544A-204C-4430-8DBE-FC51D83E1DA8}">
  <sheetPr>
    <tabColor rgb="FFFFC000"/>
  </sheetPr>
  <dimension ref="B1:F19"/>
  <sheetViews>
    <sheetView showGridLines="0" zoomScaleNormal="100" workbookViewId="0"/>
  </sheetViews>
  <sheetFormatPr defaultColWidth="9" defaultRowHeight="16" customHeight="1"/>
  <cols>
    <col min="1" max="1" width="4" style="2" customWidth="1"/>
    <col min="2" max="2" width="12.08203125" style="2" customWidth="1"/>
    <col min="3" max="4" width="10.58203125" style="2" customWidth="1"/>
    <col min="5" max="5" width="34" style="2" customWidth="1"/>
    <col min="6" max="6" width="9" style="120"/>
    <col min="7" max="16384" width="9" style="2"/>
  </cols>
  <sheetData>
    <row r="1" spans="2:6" ht="16" customHeight="1">
      <c r="B1" s="334" t="s">
        <v>268</v>
      </c>
    </row>
    <row r="2" spans="2:6" ht="16" customHeight="1" thickBot="1"/>
    <row r="3" spans="2:6" ht="16" customHeight="1">
      <c r="B3" s="110" t="s">
        <v>92</v>
      </c>
      <c r="C3" s="91"/>
      <c r="D3" s="91"/>
      <c r="E3" s="91"/>
    </row>
    <row r="4" spans="2:6" ht="16" customHeight="1">
      <c r="C4" s="121" t="s">
        <v>93</v>
      </c>
      <c r="D4" s="121" t="s">
        <v>94</v>
      </c>
      <c r="E4" s="16"/>
    </row>
    <row r="5" spans="2:6" ht="16" customHeight="1">
      <c r="B5" s="111" t="s">
        <v>95</v>
      </c>
      <c r="C5" s="122" t="s">
        <v>45</v>
      </c>
      <c r="D5" s="122" t="s">
        <v>45</v>
      </c>
      <c r="E5" s="122" t="s">
        <v>96</v>
      </c>
      <c r="F5" s="2"/>
    </row>
    <row r="6" spans="2:6" ht="16" customHeight="1">
      <c r="B6" s="123" t="s">
        <v>13</v>
      </c>
      <c r="C6" s="22">
        <v>120</v>
      </c>
      <c r="D6" s="22">
        <v>150</v>
      </c>
      <c r="E6" s="124">
        <f>IFERROR(D6/C6, "-")</f>
        <v>1.25</v>
      </c>
      <c r="F6" s="2"/>
    </row>
    <row r="7" spans="2:6" ht="18" customHeight="1">
      <c r="B7" s="123" t="s">
        <v>14</v>
      </c>
      <c r="C7" s="22">
        <v>210</v>
      </c>
      <c r="D7" s="22">
        <v>200</v>
      </c>
      <c r="E7" s="124">
        <f>IFERROR(D7/C7, "-")</f>
        <v>0.95238095238095233</v>
      </c>
      <c r="F7" s="2"/>
    </row>
    <row r="8" spans="2:6" ht="18" customHeight="1">
      <c r="B8" s="123" t="s">
        <v>16</v>
      </c>
      <c r="C8" s="22">
        <v>150</v>
      </c>
      <c r="D8" s="22">
        <v>175</v>
      </c>
      <c r="E8" s="124">
        <f t="shared" ref="E8:E11" si="0">IFERROR(D8/C8, "-")</f>
        <v>1.1666666666666667</v>
      </c>
      <c r="F8" s="2"/>
    </row>
    <row r="9" spans="2:6" ht="18" customHeight="1">
      <c r="B9" s="123" t="s">
        <v>84</v>
      </c>
      <c r="C9" s="125" t="s">
        <v>97</v>
      </c>
      <c r="D9" s="22">
        <v>220</v>
      </c>
      <c r="E9" s="124" t="str">
        <f t="shared" si="0"/>
        <v>-</v>
      </c>
      <c r="F9" s="2"/>
    </row>
    <row r="10" spans="2:6" ht="18" customHeight="1">
      <c r="B10" s="123" t="s">
        <v>85</v>
      </c>
      <c r="C10" s="22">
        <v>120</v>
      </c>
      <c r="D10" s="22">
        <v>132</v>
      </c>
      <c r="E10" s="124">
        <f t="shared" si="0"/>
        <v>1.1000000000000001</v>
      </c>
      <c r="F10" s="2"/>
    </row>
    <row r="11" spans="2:6" ht="18" customHeight="1">
      <c r="B11" s="126" t="s">
        <v>98</v>
      </c>
      <c r="C11" s="127">
        <v>200</v>
      </c>
      <c r="D11" s="127">
        <v>215</v>
      </c>
      <c r="E11" s="124">
        <f t="shared" si="0"/>
        <v>1.075</v>
      </c>
      <c r="F11" s="2"/>
    </row>
    <row r="12" spans="2:6" ht="18" customHeight="1" thickBot="1">
      <c r="B12" s="14"/>
      <c r="C12" s="24"/>
      <c r="D12" s="24"/>
      <c r="E12" s="128"/>
      <c r="F12" s="2"/>
    </row>
    <row r="13" spans="2:6" ht="18" customHeight="1"/>
    <row r="14" spans="2:6" ht="18" customHeight="1"/>
    <row r="15" spans="2:6" ht="18" customHeight="1"/>
    <row r="16" spans="2:6" ht="18" customHeight="1"/>
    <row r="17" ht="18" customHeight="1"/>
    <row r="18" ht="18" customHeight="1"/>
    <row r="19" ht="18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37</vt:i4>
      </vt:variant>
    </vt:vector>
  </HeadingPairs>
  <TitlesOfParts>
    <vt:vector size="37" baseType="lpstr">
      <vt:lpstr>Excel関数_概要</vt:lpstr>
      <vt:lpstr>IF</vt:lpstr>
      <vt:lpstr>IF_入れ子</vt:lpstr>
      <vt:lpstr>IFS</vt:lpstr>
      <vt:lpstr>AND, OR</vt:lpstr>
      <vt:lpstr>AND+OR組み合わせ</vt:lpstr>
      <vt:lpstr>COUNT, COUNTA</vt:lpstr>
      <vt:lpstr>COUNTBLANK</vt:lpstr>
      <vt:lpstr>COUNTIF_SUMIF</vt:lpstr>
      <vt:lpstr>COUNTIFS_SUMIFS</vt:lpstr>
      <vt:lpstr>PRODUCT</vt:lpstr>
      <vt:lpstr>AVERAGE, MEDIAN</vt:lpstr>
      <vt:lpstr>AVERAGEIF</vt:lpstr>
      <vt:lpstr>SUMPRODUCT</vt:lpstr>
      <vt:lpstr>VLOOKUP</vt:lpstr>
      <vt:lpstr>VLOOKUP_TRUE, MAX, MIN</vt:lpstr>
      <vt:lpstr>HLOOKUP</vt:lpstr>
      <vt:lpstr>INDEX</vt:lpstr>
      <vt:lpstr>MATCH</vt:lpstr>
      <vt:lpstr>アスタリスク</vt:lpstr>
      <vt:lpstr>RANK</vt:lpstr>
      <vt:lpstr>LEFT, FIND, LEN</vt:lpstr>
      <vt:lpstr>MID, DATE</vt:lpstr>
      <vt:lpstr>YEAR, MONTH, DAY</vt:lpstr>
      <vt:lpstr>TEXT, WORKDAY, NETWORKDAYS</vt:lpstr>
      <vt:lpstr>TODAY</vt:lpstr>
      <vt:lpstr>EDATE</vt:lpstr>
      <vt:lpstr>EOMONTH, ROUND</vt:lpstr>
      <vt:lpstr>DATEDIF</vt:lpstr>
      <vt:lpstr>時間</vt:lpstr>
      <vt:lpstr>SUBTOTAL_1</vt:lpstr>
      <vt:lpstr>SUBTOTAL_2</vt:lpstr>
      <vt:lpstr>OFFSET</vt:lpstr>
      <vt:lpstr>ピボットデータ</vt:lpstr>
      <vt:lpstr>ピボットテーブル</vt:lpstr>
      <vt:lpstr>ピボットグラフ</vt:lpstr>
      <vt:lpstr>IFERROR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Hitoshi Kumano</dc:creator>
  <cp:lastModifiedBy>こずえ 斎藤</cp:lastModifiedBy>
  <dcterms:created xsi:type="dcterms:W3CDTF">2019-09-07T08:27:05Z</dcterms:created>
  <dcterms:modified xsi:type="dcterms:W3CDTF">2026-09-25T04:55:19Z</dcterms:modified>
</cp:coreProperties>
</file>